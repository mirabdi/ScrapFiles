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bdir\Desktop\dev\ScrapFiles\scrappers\scripts\"/>
    </mc:Choice>
  </mc:AlternateContent>
  <xr:revisionPtr revIDLastSave="0" documentId="13_ncr:1_{E6FD3D05-1AF9-42C0-9E26-2A1390EC1F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Уведомление" sheetId="1" r:id="rId1"/>
    <sheet name="СМС" sheetId="2" r:id="rId2"/>
    <sheet name="Розничный Покупатель" sheetId="3" r:id="rId3"/>
    <sheet name="Остальны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M11" i="3"/>
  <c r="L11" i="3"/>
  <c r="K11" i="3"/>
  <c r="D11" i="3"/>
  <c r="G11" i="3"/>
  <c r="J11" i="3"/>
  <c r="K8" i="2"/>
  <c r="K18" i="2"/>
  <c r="D8" i="2"/>
  <c r="J11" i="2"/>
  <c r="J4" i="2"/>
  <c r="J5" i="2"/>
  <c r="J6" i="2"/>
  <c r="J7" i="2"/>
  <c r="J8" i="2"/>
  <c r="J10" i="2"/>
  <c r="J9" i="2"/>
  <c r="H8" i="2"/>
  <c r="I31" i="2"/>
  <c r="H31" i="2"/>
  <c r="J31" i="2" s="1"/>
  <c r="F31" i="2"/>
  <c r="C31" i="2"/>
  <c r="K30" i="2"/>
  <c r="M30" i="2" s="1"/>
  <c r="K29" i="2"/>
  <c r="M29" i="2" s="1"/>
  <c r="K27" i="2"/>
  <c r="M27" i="2" s="1"/>
  <c r="K26" i="2"/>
  <c r="M26" i="2" s="1"/>
  <c r="J30" i="2"/>
  <c r="J29" i="2"/>
  <c r="J28" i="2"/>
  <c r="J27" i="2"/>
  <c r="J26" i="2"/>
  <c r="G30" i="2"/>
  <c r="G29" i="2"/>
  <c r="G27" i="2"/>
  <c r="G26" i="2"/>
  <c r="D30" i="2"/>
  <c r="D29" i="2"/>
  <c r="D28" i="2"/>
  <c r="D27" i="2"/>
  <c r="D26" i="2"/>
  <c r="H30" i="2"/>
  <c r="H29" i="2"/>
  <c r="H28" i="2"/>
  <c r="H27" i="2"/>
  <c r="H26" i="2"/>
  <c r="E30" i="2"/>
  <c r="E29" i="2"/>
  <c r="E28" i="2"/>
  <c r="G28" i="2" s="1"/>
  <c r="E27" i="2"/>
  <c r="E26" i="2"/>
  <c r="B30" i="2"/>
  <c r="B29" i="2"/>
  <c r="B28" i="2"/>
  <c r="B27" i="2"/>
  <c r="B26" i="2"/>
  <c r="H8" i="4"/>
  <c r="J8" i="4" s="1"/>
  <c r="H7" i="4"/>
  <c r="J7" i="4" s="1"/>
  <c r="H6" i="4"/>
  <c r="J6" i="4" s="1"/>
  <c r="B8" i="4"/>
  <c r="K8" i="4" s="1"/>
  <c r="M8" i="4" s="1"/>
  <c r="B7" i="4"/>
  <c r="B6" i="4"/>
  <c r="E8" i="4"/>
  <c r="E7" i="4"/>
  <c r="G7" i="4" s="1"/>
  <c r="E6" i="4"/>
  <c r="G6" i="4" s="1"/>
  <c r="I9" i="4"/>
  <c r="F9" i="4"/>
  <c r="C9" i="4"/>
  <c r="L9" i="4" s="1"/>
  <c r="H5" i="4"/>
  <c r="J5" i="4" s="1"/>
  <c r="H4" i="4"/>
  <c r="J4" i="4" s="1"/>
  <c r="G8" i="4"/>
  <c r="E5" i="4"/>
  <c r="E4" i="4"/>
  <c r="B5" i="4"/>
  <c r="D5" i="4" s="1"/>
  <c r="B4" i="4"/>
  <c r="D4" i="4" s="1"/>
  <c r="G11" i="2"/>
  <c r="L14" i="3"/>
  <c r="I14" i="3"/>
  <c r="J14" i="3" s="1"/>
  <c r="H14" i="3"/>
  <c r="F14" i="3"/>
  <c r="E14" i="3"/>
  <c r="C14" i="3"/>
  <c r="B14" i="3"/>
  <c r="I40" i="1"/>
  <c r="H40" i="1"/>
  <c r="F40" i="1"/>
  <c r="E40" i="1"/>
  <c r="G40" i="1"/>
  <c r="J40" i="1"/>
  <c r="I21" i="2"/>
  <c r="H21" i="2"/>
  <c r="J21" i="2" s="1"/>
  <c r="F21" i="2"/>
  <c r="E21" i="2"/>
  <c r="G21" i="2" s="1"/>
  <c r="C21" i="2"/>
  <c r="B21" i="2"/>
  <c r="K11" i="2"/>
  <c r="I11" i="2"/>
  <c r="H11" i="2"/>
  <c r="F11" i="2"/>
  <c r="L11" i="2" s="1"/>
  <c r="B11" i="2"/>
  <c r="D11" i="2" s="1"/>
  <c r="C11" i="2"/>
  <c r="E11" i="2"/>
  <c r="K14" i="3" l="1"/>
  <c r="G14" i="3"/>
  <c r="M14" i="3"/>
  <c r="D14" i="3"/>
  <c r="K21" i="2"/>
  <c r="D21" i="2"/>
  <c r="K28" i="2"/>
  <c r="M28" i="2" s="1"/>
  <c r="E31" i="2"/>
  <c r="G31" i="2" s="1"/>
  <c r="B31" i="2"/>
  <c r="K31" i="2" s="1"/>
  <c r="M11" i="2"/>
  <c r="L21" i="2"/>
  <c r="M21" i="2" s="1"/>
  <c r="L31" i="2"/>
  <c r="K4" i="4"/>
  <c r="M4" i="4" s="1"/>
  <c r="K5" i="4"/>
  <c r="M5" i="4" s="1"/>
  <c r="K7" i="4"/>
  <c r="M7" i="4" s="1"/>
  <c r="G5" i="4"/>
  <c r="G4" i="4"/>
  <c r="D8" i="4"/>
  <c r="D7" i="4"/>
  <c r="B9" i="4"/>
  <c r="D9" i="4" s="1"/>
  <c r="D6" i="4"/>
  <c r="H9" i="4"/>
  <c r="J9" i="4" s="1"/>
  <c r="K6" i="4"/>
  <c r="E9" i="4"/>
  <c r="M31" i="2" l="1"/>
  <c r="D31" i="2"/>
  <c r="G9" i="4"/>
  <c r="K9" i="4"/>
  <c r="M9" i="4" s="1"/>
  <c r="M6" i="4"/>
</calcChain>
</file>

<file path=xl/sharedStrings.xml><?xml version="1.0" encoding="utf-8"?>
<sst xmlns="http://schemas.openxmlformats.org/spreadsheetml/2006/main" count="146" uniqueCount="61">
  <si>
    <t>date</t>
  </si>
  <si>
    <t>focus_count</t>
  </si>
  <si>
    <t>total_count</t>
  </si>
  <si>
    <t>count_pct</t>
  </si>
  <si>
    <t>focus_sum</t>
  </si>
  <si>
    <t>total_sum</t>
  </si>
  <si>
    <t>sum_pct</t>
  </si>
  <si>
    <t>focus_purchase</t>
  </si>
  <si>
    <t>total_purchase</t>
  </si>
  <si>
    <t>purchase_pct</t>
  </si>
  <si>
    <t>focus_avg_cheque</t>
  </si>
  <si>
    <t>total_avg_cheque</t>
  </si>
  <si>
    <t>avg_cheque_pct</t>
  </si>
  <si>
    <t>id</t>
  </si>
  <si>
    <t>title</t>
  </si>
  <si>
    <t>content</t>
  </si>
  <si>
    <t>created_at</t>
  </si>
  <si>
    <t>updated_at</t>
  </si>
  <si>
    <t>Магазин Балапан дарит Вам БОНУС 300сом</t>
  </si>
  <si>
    <t>Магазин Балапан дарит Вам БОНУС 300сом на любую покупку в магазине @nesthome_osh. Бонус можно использовать только с 1 по 5 июля — загляните в новый магазин домашних принадлежностей, посуды, постельного белья, и разных мелочей для дома ✨ Используйте бонус с ВЫГОДОЙ!</t>
  </si>
  <si>
    <t>Скидки в самом разгаре 🎉</t>
  </si>
  <si>
    <t>Скидки в самом разгаре продолжаются! 🔥 Успей купить по лучшим ценам 🛍️</t>
  </si>
  <si>
    <t>🎁 Скидки и бонусы от Balapan — только 2 дня!</t>
  </si>
  <si>
    <t>🔥 Только 2 дня — 12-13 июлья !
🛍 Совершите покупку от **3000 сом** и получите 🎁 **500 сом бонусов**
на следующую покупку одежды или обуви!
✨ Летние скидки уже в разгаре — обновите гардероб выгодно и с удовольствием!
Не упустите шанс!</t>
  </si>
  <si>
    <t>🛍 Покупайте и получайте 🎁 *300 сом бонусов*!</t>
  </si>
  <si>
    <t>🔥 Осталось только 3 дня — 17-18-19 июля! 🛍 Совершите покупку от *2000 сом* и получите 🎁 *300 сом бонусов* на следующую покупку! Спешите воспользоваться предложением!</t>
  </si>
  <si>
    <t>⏰ Последний день! ⚠️ Успейте получить 🎁 300 сом</t>
  </si>
  <si>
    <t>⏰ Сегодня последний день акции — только 19 июля! Сделайте покупку от *2000 сом* и получите *300 сом бонусов* на следующую покупку. Не упустите шанс!</t>
  </si>
  <si>
    <t>📚 Удвоенные бонусы и тетради по 1 сому!</t>
  </si>
  <si>
    <t>🎉 Удвоенные бонусы и тетради по **1 сому** при покупке школьных товаров от **3000 с**! 🛒 Подготовьтесь к школе с выгодой! ✏️📓</t>
  </si>
  <si>
    <t>🎉 Вам начислено 300 сом бонусов!</t>
  </si>
  <si>
    <t>🎁 Вы получили **300 сом бонусов**! 💳 Теперь на вашем бонусном счёте: **{bonus_balance} сом**. Используйте бонусы при следующей покупке и радуйтесь выгодному шопингу! 🛍️</t>
  </si>
  <si>
    <t>Спасибо за вашу покупку!</t>
  </si>
  <si>
    <t>Недавно вы совершили покупку на сумму {sum} сом и получили бонусные баллы в размере {bonus_cashback} сом. Вы можете использовать их в течение года.</t>
  </si>
  <si>
    <t>Болгону 3 күн! Мектепке +15% бонус 🎒</t>
  </si>
  <si>
    <t>Мектепке даярдануудасызбы? 📚
Жаңы мектептик коллекция келди —
рюкзактар, дептерлер, канцелярия жана башка нерселер бар!
Болгону 3 күн — бардык мектеп товарларына
+15% бонус ала аласыз! 🏃‍♂️
Акция кыска мөөнөттө — шашылыңыз!</t>
  </si>
  <si>
    <t>Только 3 дня! +15% бонусами на школьную коллекцию 🎒</t>
  </si>
  <si>
    <t>Собираетесь в школу? 📚
У нас уже в наличии новая школьная коллекция —
рюкзаки, тетради, канцтовары и не только!
Только 3 дня — получите +15% бонусами
на ВСЁ для школы! 🏃‍♂️
Спешите — акция короткая!</t>
  </si>
  <si>
    <t>Акыркы күн! +15% бонус мектеп товарларына 🎒</t>
  </si>
  <si>
    <t>Мектепке даярданууну кечиктирбеңиздер! 📚
Жаңы мектептик коллекция сатыкта — рюкзактар, дептерлер, канцтоварлар жана башкалар.
Бүгүн — акыркы күн! +15% бонус бардык мектеп товарларына! 🏃‍♂️
Акция бүтүп баратат — азыр эле келүүңүздү сунуштайбыз!</t>
  </si>
  <si>
    <t>5-август — мектеп жарманкеси! Тетраддар болгону 1 сомго! 📘🎉</t>
  </si>
  <si>
    <t>Сизди күтүп атабыз! 👋
5-август, 15:00дө Offprice мектеп жарманкеси өтөт!
Болгону 1 сомго тетраддар, белектер, бонустар жана шоу-программа болот! 🎁🎈
📍 Дарек: Курманжан Датка 129а
Келип, балдарыңыз менен көңүлдүү жана пайдалуу убакыт өткөрүңүз!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</si>
  <si>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</si>
  <si>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</si>
  <si>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</si>
  <si>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</si>
  <si>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</si>
  <si>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</si>
  <si>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</si>
  <si>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School #2</t>
  </si>
  <si>
    <t>School #1</t>
  </si>
  <si>
    <t>count</t>
  </si>
  <si>
    <t>sum</t>
  </si>
  <si>
    <t>purchase</t>
  </si>
  <si>
    <t>avg_cheque</t>
  </si>
  <si>
    <t>2025-07-25</t>
  </si>
  <si>
    <t>2025-07-26</t>
  </si>
  <si>
    <t>2025-07-27</t>
  </si>
  <si>
    <t>2025-07-28</t>
  </si>
  <si>
    <t>2025-07-29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</si>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</sst>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3" borderId="4" xfId="0" applyFill="1" applyBorder="1"/>
    <xf numFmtId="0" fontId="0" fillId="0" borderId="4" xfId="0" applyBorder="1"/>
    <xf numFmtId="0" fontId="0" fillId="3" borderId="5" xfId="0" applyFill="1" applyBorder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3" borderId="3" xfId="0" applyFill="1" applyBorder="1"/>
    <xf numFmtId="0" fontId="0" fillId="0" borderId="3" xfId="0" applyBorder="1"/>
    <xf numFmtId="0" fontId="3" fillId="2" borderId="2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1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numFmt numFmtId="165" formatCode="yyyy\-mm\-dd\ hh:mm:ss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F29CBC-0A3E-4BC4-A896-502E603C6450}" name="Table1" displayName="Table1" ref="A1:R40" totalsRowCount="1" headerRowDxfId="20" headerRowBorderDxfId="19" tableBorderDxfId="18">
  <autoFilter ref="A1:R39" xr:uid="{8CF29CBC-0A3E-4BC4-A896-502E603C6450}"/>
  <tableColumns count="18">
    <tableColumn id="1" xr3:uid="{ACC6C92F-DB66-453A-A56A-149FB362FBAD}" name="date" dataDxfId="17" totalsRowDxfId="16"/>
    <tableColumn id="2" xr3:uid="{27363979-BF5E-45C5-A339-C9B626F7102C}" name="focus_count"/>
    <tableColumn id="3" xr3:uid="{09B84ED8-68A9-4D00-8C9C-741F9404A2BB}" name="total_count"/>
    <tableColumn id="4" xr3:uid="{CE5491C4-E412-4FD0-9E1F-C8D566B94E40}" name="count_pct"/>
    <tableColumn id="5" xr3:uid="{FC206103-0635-435F-AE28-39C64E59A17D}" name="focus_sum" totalsRowFunction="custom">
      <totalsRowFormula>SUM(E34:E39)</totalsRowFormula>
    </tableColumn>
    <tableColumn id="6" xr3:uid="{DCA60D9B-1D26-4BD7-82AF-593E40E27B14}" name="total_sum" totalsRowFunction="custom">
      <totalsRowFormula>SUM(F34:F39)</totalsRowFormula>
    </tableColumn>
    <tableColumn id="7" xr3:uid="{9C6A4AB9-9DFB-4F10-B29D-87D2DD2864C5}" name="sum_pct" totalsRowFunction="custom">
      <totalsRowFormula>Table1[[#Totals],[focus_sum]]/Table1[[#Totals],[total_sum]]</totalsRowFormula>
    </tableColumn>
    <tableColumn id="8" xr3:uid="{42786F97-7B77-45C7-9FF9-91EC85203CCC}" name="focus_purchase" totalsRowFunction="custom">
      <totalsRowFormula>SUM(H34:H39)</totalsRowFormula>
    </tableColumn>
    <tableColumn id="9" xr3:uid="{CBB7513D-FDB9-4F83-9F5E-B177C089EF26}" name="total_purchase" totalsRowFunction="custom">
      <totalsRowFormula>SUM(I34:I39)</totalsRowFormula>
    </tableColumn>
    <tableColumn id="10" xr3:uid="{6692C5D0-4F93-4A20-9BC9-0BF33071F9ED}" name="purchase_pct" totalsRowFunction="custom">
      <totalsRowFormula>Table1[[#Totals],[focus_purchase]]/Table1[[#Totals],[total_purchase]]</totalsRowFormula>
    </tableColumn>
    <tableColumn id="11" xr3:uid="{4858D473-DA77-4148-987F-38823877D2C3}" name="focus_avg_cheque"/>
    <tableColumn id="12" xr3:uid="{D05F9409-5BAF-44F4-84AF-8EBE999FAE23}" name="total_avg_cheque"/>
    <tableColumn id="13" xr3:uid="{9BC0B0C3-D95D-44D8-A702-78D82662EC4F}" name="avg_cheque_pct"/>
    <tableColumn id="14" xr3:uid="{43422790-4276-45F8-B2B4-7F7FDB832EFA}" name="id"/>
    <tableColumn id="15" xr3:uid="{074E281F-52FF-4AB0-B753-13F523A8746C}" name="title"/>
    <tableColumn id="16" xr3:uid="{E2C8E1E7-6778-42B7-80D6-DC9068E72786}" name="content"/>
    <tableColumn id="17" xr3:uid="{393D9C3C-17DB-464E-9AEC-C05508B7D83B}" name="created_at" dataDxfId="15" totalsRowDxfId="14"/>
    <tableColumn id="18" xr3:uid="{B0A45209-92B6-4E3F-8CE4-F36279F9A35B}" name="updated_at" dataDxfId="13" totalsRow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DD3A47-CC45-4B21-A5BA-AFE6607A9F78}" name="Table2" displayName="Table2" ref="A13:M21" totalsRowCount="1" headerRowDxfId="11" headerRowBorderDxfId="10" tableBorderDxfId="9">
  <autoFilter ref="A13:M20" xr:uid="{A4DD3A47-CC45-4B21-A5BA-AFE6607A9F78}"/>
  <tableColumns count="13">
    <tableColumn id="1" xr3:uid="{2104FDD6-927C-4501-B9D0-7EAE08AEEB7B}" name="date"/>
    <tableColumn id="2" xr3:uid="{2B29BE8A-DF7A-47C5-9491-5E49E3E271C6}" name="count" totalsRowFunction="custom">
      <totalsRowFormula>SUM(Table2[count])</totalsRowFormula>
    </tableColumn>
    <tableColumn id="3" xr3:uid="{D907ECEF-A6D0-4FC5-AC72-79FF7FCE9F0D}" name="total_count" totalsRowFunction="custom">
      <totalsRowFormula>SUM(Table2[total_count])</totalsRowFormula>
    </tableColumn>
    <tableColumn id="4" xr3:uid="{134B65F0-DEE0-44A2-A6FB-B2C00DCABFEC}" name="count_pct" totalsRowFunction="custom">
      <totalsRowFormula>Table2[[#Totals],[count]]/Table2[[#Totals],[total_count]]*100</totalsRowFormula>
    </tableColumn>
    <tableColumn id="5" xr3:uid="{78C300DE-FCD8-485C-8A46-E7F24816C57C}" name="sum" totalsRowFunction="custom">
      <totalsRowFormula>SUM(Table2[sum])</totalsRowFormula>
    </tableColumn>
    <tableColumn id="6" xr3:uid="{452877AC-F4E6-42E5-B880-4C6374D5ABD9}" name="total_sum" totalsRowFunction="custom">
      <totalsRowFormula>SUM(Table2[total_sum])</totalsRowFormula>
    </tableColumn>
    <tableColumn id="7" xr3:uid="{6AD03174-B498-4357-8DB5-C5AD59B2277B}" name="sum_pct" totalsRowFunction="custom">
      <totalsRowFormula>Table2[[#Totals],[sum]]/Table2[[#Totals],[total_sum]]*100</totalsRowFormula>
    </tableColumn>
    <tableColumn id="8" xr3:uid="{1F346565-623D-4F50-B51F-32DC107D8185}" name="purchase" totalsRowFunction="custom">
      <totalsRowFormula>SUM(Table2[purchase])</totalsRowFormula>
    </tableColumn>
    <tableColumn id="9" xr3:uid="{15AC905C-37E5-481D-99E9-FD9925741CC9}" name="total_purchase" totalsRowFunction="custom">
      <totalsRowFormula>SUM(Table4[total_purchase])</totalsRowFormula>
    </tableColumn>
    <tableColumn id="10" xr3:uid="{C7D7CE7A-272B-4218-9489-D63738280CCF}" name="purchase_pct" totalsRowFunction="custom">
      <totalsRowFormula>Table2[[#Totals],[purchase]]/Table2[[#Totals],[total_purchase]]*100</totalsRowFormula>
    </tableColumn>
    <tableColumn id="11" xr3:uid="{FBCAAC7E-54C2-4DC1-8504-809E6694AFC5}" name="avg_cheque" totalsRowFunction="custom">
      <totalsRowFormula>Table2[[#Totals],[sum]]/Table2[[#Totals],[count]]</totalsRowFormula>
    </tableColumn>
    <tableColumn id="12" xr3:uid="{B5F99B35-FFFF-4419-80DD-E3B37F3EEAFB}" name="total_avg_cheque" totalsRowFunction="custom">
      <totalsRowFormula>Table2[[#Totals],[total_sum]]/Table2[[#Totals],[total_count]]</totalsRowFormula>
    </tableColumn>
    <tableColumn id="13" xr3:uid="{06A605E6-D258-4B2D-B7FF-30CB227C0514}" name="avg_cheque_pct" totalsRowFunction="custom">
      <totalsRowFormula>Table2[[#Totals],[avg_cheque]]/Table2[[#Totals],[total_avg_cheque]]*100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4986E2-21F8-48DE-BE1D-17E12C95D1DA}" name="Table4" displayName="Table4" ref="A3:M11" totalsRowCount="1" headerRowDxfId="8" headerRowBorderDxfId="7" tableBorderDxfId="6">
  <autoFilter ref="A3:M10" xr:uid="{854986E2-21F8-48DE-BE1D-17E12C95D1DA}"/>
  <tableColumns count="13">
    <tableColumn id="1" xr3:uid="{DA432C94-CB57-4B27-9382-6AFCD8D3869D}" name="date"/>
    <tableColumn id="2" xr3:uid="{6434FAAC-9D88-4703-A2F5-ACC10F594D39}" name="focus_count" totalsRowFunction="custom">
      <totalsRowFormula>SUM(Table4[focus_count])</totalsRowFormula>
    </tableColumn>
    <tableColumn id="3" xr3:uid="{9278E71B-E7B8-44F9-996A-2BB5918EA2C7}" name="total_count" totalsRowFunction="custom">
      <totalsRowFormula>SUM(Table4[total_count])</totalsRowFormula>
    </tableColumn>
    <tableColumn id="4" xr3:uid="{D8825237-5F36-4D9B-81EC-BBACBC577AED}" name="count_pct" totalsRowFunction="custom">
      <totalsRowFormula>Table4[[#Totals],[focus_count]]/Table4[[#Totals],[total_count]]*100</totalsRowFormula>
    </tableColumn>
    <tableColumn id="5" xr3:uid="{AFCBE2A7-2E88-42E8-8FDB-6D7238936C85}" name="focus_sum" totalsRowFunction="custom">
      <totalsRowFormula>SUM(Table4[focus_sum])</totalsRowFormula>
    </tableColumn>
    <tableColumn id="6" xr3:uid="{A9A4E0A8-0127-4FFF-9C2B-A2D10A528975}" name="total_sum" totalsRowFunction="custom">
      <totalsRowFormula>SUM(Table4[total_sum])</totalsRowFormula>
    </tableColumn>
    <tableColumn id="7" xr3:uid="{99BB762B-F7EE-4AFC-B4D5-AAE242778A9D}" name="sum_pct" totalsRowFunction="custom">
      <totalsRowFormula>Table4[[#Totals],[focus_sum]]/Table4[[#Totals],[total_sum]]*100</totalsRowFormula>
    </tableColumn>
    <tableColumn id="8" xr3:uid="{B3B3D3B8-9F89-4796-A292-1CB428D6784C}" name="focus_purchase" totalsRowFunction="custom">
      <totalsRowFormula>SUM(Table4[focus_purchase])</totalsRowFormula>
    </tableColumn>
    <tableColumn id="9" xr3:uid="{A41E8F80-953E-4CCD-B50C-466E78FEB114}" name="total_purchase" totalsRowFunction="custom">
      <totalsRowFormula>SUM(Table4[total_purchase])</totalsRowFormula>
    </tableColumn>
    <tableColumn id="10" xr3:uid="{49CF821E-5AF7-4C81-B0A4-78428805E2D1}" name="purchase_pct" totalsRowFunction="custom">
      <totalsRowFormula>Table4[[#Totals],[focus_purchase]]/Table4[[#Totals],[total_purchase]]*100</totalsRowFormula>
    </tableColumn>
    <tableColumn id="11" xr3:uid="{BAADA816-68D3-4CBB-A44F-7A1F686D66D8}" name="focus_avg_cheque" totalsRowFunction="custom">
      <totalsRowFormula>Table4[[#Totals],[focus_sum]]/Table4[[#Totals],[focus_count]]</totalsRowFormula>
    </tableColumn>
    <tableColumn id="12" xr3:uid="{E4F4C736-1CA5-48B1-9A14-2AEEFD5B1F5F}" name="total_avg_cheque" totalsRowFunction="custom">
      <totalsRowFormula>Table4[[#Totals],[total_sum]]/Table4[[#Totals],[total_count]]</totalsRowFormula>
    </tableColumn>
    <tableColumn id="13" xr3:uid="{ECC63A2D-F32F-40AE-92DC-48C523C6F0B7}" name="avg_cheque_pct" totalsRowFunction="custom">
      <totalsRowFormula>Table4[[#Totals],[focus_avg_cheque]]/Table4[[#Totals],[total_avg_cheque]]*100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92A701-C91F-420B-8CB6-0439ECFD65F0}" name="Table7" displayName="Table7" ref="A25:M31" totalsRowShown="0" headerRowDxfId="5" headerRowBorderDxfId="4" tableBorderDxfId="3">
  <autoFilter ref="A25:M31" xr:uid="{4C92A701-C91F-420B-8CB6-0439ECFD65F0}"/>
  <tableColumns count="13">
    <tableColumn id="1" xr3:uid="{2C6F73DB-C796-4068-B026-D3352F92A4F8}" name="date"/>
    <tableColumn id="2" xr3:uid="{401E6F98-12F2-4F3A-98BC-F7FA6FB19410}" name="count"/>
    <tableColumn id="3" xr3:uid="{581C0BB6-26E5-4384-AC98-6A9A40CEEA38}" name="total_count"/>
    <tableColumn id="4" xr3:uid="{17F1F5D8-3E87-411A-B425-E239B4B781F4}" name="count_pct">
      <calculatedColumnFormula>B26/C26*100</calculatedColumnFormula>
    </tableColumn>
    <tableColumn id="5" xr3:uid="{4FC71888-582E-4FC4-9944-1EE6098FB7E9}" name="sum"/>
    <tableColumn id="6" xr3:uid="{F15CAEE7-E247-4DC3-8833-B177B8FC9E5C}" name="total_sum"/>
    <tableColumn id="7" xr3:uid="{31F0609F-F776-40D9-95FE-E516079508F1}" name="sum_pct">
      <calculatedColumnFormula>E26/F26*100</calculatedColumnFormula>
    </tableColumn>
    <tableColumn id="8" xr3:uid="{1927947A-7E6B-4E16-AE77-C45B81F0AF69}" name="purchase"/>
    <tableColumn id="9" xr3:uid="{0E609BDD-6810-4589-B460-608F904AC3DC}" name="total_purchase"/>
    <tableColumn id="10" xr3:uid="{45D9690D-5E85-43CB-B826-FE78A1AD6D9A}" name="purchase_pct">
      <calculatedColumnFormula>H26/I26*100</calculatedColumnFormula>
    </tableColumn>
    <tableColumn id="11" xr3:uid="{99139A1C-5E24-41F1-9A39-92DDF6E74C2B}" name="avg_cheque">
      <calculatedColumnFormula>E26/B26</calculatedColumnFormula>
    </tableColumn>
    <tableColumn id="12" xr3:uid="{0952A39E-7083-4DF7-A07F-9BCCB47EF3EC}" name="total_avg_cheque"/>
    <tableColumn id="13" xr3:uid="{F15716AB-38BB-408B-9F78-65E253B2E137}" name="avg_cheque_pct">
      <calculatedColumnFormula>K26/L26*100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EC5E85-9580-4D17-87FE-472D8BA74FD7}" name="Table6" displayName="Table6" ref="A1:M14" totalsRowShown="0" headerRowDxfId="2" headerRowBorderDxfId="1" tableBorderDxfId="0">
  <autoFilter ref="A1:M14" xr:uid="{B3EC5E85-9580-4D17-87FE-472D8BA74FD7}"/>
  <tableColumns count="13">
    <tableColumn id="1" xr3:uid="{0EB10620-8996-4FAC-9D8F-A2775B995506}" name="date"/>
    <tableColumn id="2" xr3:uid="{F4040005-BF2C-4D2B-8A10-FA9A1325EDC3}" name="focus_count"/>
    <tableColumn id="3" xr3:uid="{A44DFAFD-90EE-4327-95B7-4C00F9B08A70}" name="total_count"/>
    <tableColumn id="4" xr3:uid="{862D3BEB-59B1-46F4-92AF-2E1749AB058F}" name="count_pct"/>
    <tableColumn id="5" xr3:uid="{8457F8C8-E435-4398-8B7C-842B1559FE76}" name="focus_sum"/>
    <tableColumn id="6" xr3:uid="{AE5C8198-A3BD-4250-928E-3744298ADB22}" name="total_sum"/>
    <tableColumn id="7" xr3:uid="{8B3AFAB9-FFD8-4C26-A9E0-9D366381A9A9}" name="sum_pct"/>
    <tableColumn id="8" xr3:uid="{6E6DA90D-5A67-4D9C-8487-208B10C34476}" name="focus_purchase"/>
    <tableColumn id="9" xr3:uid="{7026D0B2-106A-4FC8-823B-F8CEA2001668}" name="total_purchase"/>
    <tableColumn id="10" xr3:uid="{1B091A64-F088-4ED8-9067-F886E9622832}" name="purchase_pct"/>
    <tableColumn id="11" xr3:uid="{6F966761-08EA-46C7-943D-89342AED74F8}" name="focus_avg_cheque"/>
    <tableColumn id="12" xr3:uid="{96252EBF-4413-4D70-8FBC-165D9EF6F183}" name="total_avg_cheque"/>
    <tableColumn id="13" xr3:uid="{5F93378E-B88E-42DD-8808-BC7242932B38}" name="avg_cheque_p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opLeftCell="A22" workbookViewId="0">
      <selection activeCell="L37" sqref="L37"/>
    </sheetView>
  </sheetViews>
  <sheetFormatPr defaultRowHeight="14.4" x14ac:dyDescent="0.3"/>
  <cols>
    <col min="1" max="1" width="13.6640625" customWidth="1"/>
    <col min="2" max="2" width="13.33203125" customWidth="1"/>
    <col min="3" max="3" width="12.6640625" customWidth="1"/>
    <col min="4" max="4" width="11.44140625" customWidth="1"/>
    <col min="5" max="5" width="12" customWidth="1"/>
    <col min="6" max="6" width="11.33203125" customWidth="1"/>
    <col min="7" max="7" width="10.109375" customWidth="1"/>
    <col min="8" max="8" width="16.109375" customWidth="1"/>
    <col min="9" max="9" width="15.44140625" customWidth="1"/>
    <col min="10" max="10" width="14.21875" customWidth="1"/>
    <col min="11" max="11" width="18.6640625" customWidth="1"/>
    <col min="12" max="12" width="18" customWidth="1"/>
    <col min="13" max="13" width="16.77734375" customWidth="1"/>
    <col min="15" max="15" width="62.88671875" customWidth="1"/>
    <col min="16" max="16" width="35.77734375" customWidth="1"/>
    <col min="17" max="17" width="21.109375" customWidth="1"/>
    <col min="18" max="18" width="14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>
        <v>45839</v>
      </c>
      <c r="B2">
        <v>148</v>
      </c>
      <c r="C2">
        <v>459</v>
      </c>
      <c r="D2">
        <v>32.24</v>
      </c>
      <c r="E2">
        <v>237711.48</v>
      </c>
      <c r="F2">
        <v>659587.77</v>
      </c>
      <c r="G2">
        <v>36.04</v>
      </c>
      <c r="H2">
        <v>152069.89000000001</v>
      </c>
      <c r="I2">
        <v>405437.61</v>
      </c>
      <c r="J2">
        <v>37.51</v>
      </c>
      <c r="K2">
        <v>1606.16</v>
      </c>
      <c r="L2">
        <v>1437.01</v>
      </c>
      <c r="M2">
        <v>111.77</v>
      </c>
      <c r="N2">
        <v>2839</v>
      </c>
      <c r="O2" t="s">
        <v>18</v>
      </c>
      <c r="P2" t="s">
        <v>19</v>
      </c>
      <c r="Q2" s="2">
        <v>45839.37669164352</v>
      </c>
      <c r="R2" s="2">
        <v>45868.381122986109</v>
      </c>
    </row>
    <row r="3" spans="1:18" x14ac:dyDescent="0.3">
      <c r="A3" s="1">
        <v>45840</v>
      </c>
      <c r="B3">
        <v>130</v>
      </c>
      <c r="C3">
        <v>412</v>
      </c>
      <c r="D3">
        <v>31.55</v>
      </c>
      <c r="E3">
        <v>193024.83</v>
      </c>
      <c r="F3">
        <v>566767.78</v>
      </c>
      <c r="G3">
        <v>34.06</v>
      </c>
      <c r="H3">
        <v>119699.33</v>
      </c>
      <c r="I3">
        <v>348301.27</v>
      </c>
      <c r="J3">
        <v>34.369999999999997</v>
      </c>
      <c r="K3">
        <v>1484.81</v>
      </c>
      <c r="L3">
        <v>1375.65</v>
      </c>
      <c r="M3">
        <v>107.94</v>
      </c>
    </row>
    <row r="4" spans="1:18" x14ac:dyDescent="0.3">
      <c r="A4" s="1">
        <v>45841</v>
      </c>
      <c r="B4">
        <v>157</v>
      </c>
      <c r="C4">
        <v>469</v>
      </c>
      <c r="D4">
        <v>33.479999999999997</v>
      </c>
      <c r="E4">
        <v>212682.15</v>
      </c>
      <c r="F4">
        <v>567787.36</v>
      </c>
      <c r="G4">
        <v>37.46</v>
      </c>
      <c r="H4">
        <v>132769.15</v>
      </c>
      <c r="I4">
        <v>346086.28</v>
      </c>
      <c r="J4">
        <v>38.36</v>
      </c>
      <c r="K4">
        <v>1354.66</v>
      </c>
      <c r="L4">
        <v>1210.6300000000001</v>
      </c>
      <c r="M4">
        <v>111.9</v>
      </c>
    </row>
    <row r="5" spans="1:18" x14ac:dyDescent="0.3">
      <c r="A5" s="1">
        <v>45842</v>
      </c>
      <c r="B5">
        <v>137</v>
      </c>
      <c r="C5">
        <v>455</v>
      </c>
      <c r="D5">
        <v>30.11</v>
      </c>
      <c r="E5">
        <v>263445.64</v>
      </c>
      <c r="F5">
        <v>673926.55</v>
      </c>
      <c r="G5">
        <v>39.090000000000003</v>
      </c>
      <c r="H5">
        <v>168326.93</v>
      </c>
      <c r="I5">
        <v>416251.55</v>
      </c>
      <c r="J5">
        <v>40.44</v>
      </c>
      <c r="K5">
        <v>1922.96</v>
      </c>
      <c r="L5">
        <v>1481.16</v>
      </c>
      <c r="M5">
        <v>129.83000000000001</v>
      </c>
    </row>
    <row r="6" spans="1:18" x14ac:dyDescent="0.3">
      <c r="A6" s="1">
        <v>45843</v>
      </c>
      <c r="B6">
        <v>126</v>
      </c>
      <c r="C6">
        <v>395</v>
      </c>
      <c r="D6">
        <v>31.9</v>
      </c>
      <c r="E6">
        <v>205351.88</v>
      </c>
      <c r="F6">
        <v>537052.17000000004</v>
      </c>
      <c r="G6">
        <v>38.24</v>
      </c>
      <c r="H6">
        <v>131049.46</v>
      </c>
      <c r="I6">
        <v>332616.11</v>
      </c>
      <c r="J6">
        <v>39.4</v>
      </c>
      <c r="K6">
        <v>1629.78</v>
      </c>
      <c r="L6">
        <v>1359.63</v>
      </c>
      <c r="M6">
        <v>119.87</v>
      </c>
    </row>
    <row r="7" spans="1:18" x14ac:dyDescent="0.3">
      <c r="A7" s="1">
        <v>45844</v>
      </c>
      <c r="B7">
        <v>97</v>
      </c>
      <c r="C7">
        <v>338</v>
      </c>
      <c r="D7">
        <v>28.7</v>
      </c>
      <c r="E7">
        <v>163665.59</v>
      </c>
      <c r="F7">
        <v>484111.91</v>
      </c>
      <c r="G7">
        <v>33.81</v>
      </c>
      <c r="H7">
        <v>101986.11</v>
      </c>
      <c r="I7">
        <v>298503.8</v>
      </c>
      <c r="J7">
        <v>34.17</v>
      </c>
      <c r="K7">
        <v>1687.27</v>
      </c>
      <c r="L7">
        <v>1432.28</v>
      </c>
      <c r="M7">
        <v>117.8</v>
      </c>
    </row>
    <row r="8" spans="1:18" x14ac:dyDescent="0.3">
      <c r="A8" s="1">
        <v>45845</v>
      </c>
      <c r="B8">
        <v>154</v>
      </c>
      <c r="C8">
        <v>431</v>
      </c>
      <c r="D8">
        <v>35.729999999999997</v>
      </c>
      <c r="E8">
        <v>213549.7</v>
      </c>
      <c r="F8">
        <v>529104.11</v>
      </c>
      <c r="G8">
        <v>40.36</v>
      </c>
      <c r="H8">
        <v>132326.32</v>
      </c>
      <c r="I8">
        <v>323399.09000000003</v>
      </c>
      <c r="J8">
        <v>40.92</v>
      </c>
      <c r="K8">
        <v>1386.69</v>
      </c>
      <c r="L8">
        <v>1227.6199999999999</v>
      </c>
      <c r="M8">
        <v>112.96</v>
      </c>
    </row>
    <row r="9" spans="1:18" x14ac:dyDescent="0.3">
      <c r="A9" s="1">
        <v>45846</v>
      </c>
      <c r="B9">
        <v>117</v>
      </c>
      <c r="C9">
        <v>368</v>
      </c>
      <c r="D9">
        <v>31.79</v>
      </c>
      <c r="E9">
        <v>174528.89</v>
      </c>
      <c r="F9">
        <v>451196.15</v>
      </c>
      <c r="G9">
        <v>38.68</v>
      </c>
      <c r="H9">
        <v>111130.02</v>
      </c>
      <c r="I9">
        <v>280901.88</v>
      </c>
      <c r="J9">
        <v>39.56</v>
      </c>
      <c r="K9">
        <v>1491.7</v>
      </c>
      <c r="L9">
        <v>1226.08</v>
      </c>
      <c r="M9">
        <v>121.66</v>
      </c>
      <c r="N9">
        <v>2872</v>
      </c>
      <c r="O9" t="s">
        <v>20</v>
      </c>
      <c r="P9" t="s">
        <v>21</v>
      </c>
      <c r="Q9" s="2">
        <v>45846.404453055547</v>
      </c>
      <c r="R9" s="2">
        <v>45868.381122824067</v>
      </c>
    </row>
    <row r="10" spans="1:18" x14ac:dyDescent="0.3">
      <c r="A10" s="1">
        <v>45847</v>
      </c>
      <c r="B10">
        <v>115</v>
      </c>
      <c r="C10">
        <v>349</v>
      </c>
      <c r="D10">
        <v>32.950000000000003</v>
      </c>
      <c r="E10">
        <v>164430</v>
      </c>
      <c r="F10">
        <v>427112.1</v>
      </c>
      <c r="G10">
        <v>38.5</v>
      </c>
      <c r="H10">
        <v>105156.46</v>
      </c>
      <c r="I10">
        <v>267165</v>
      </c>
      <c r="J10">
        <v>39.36</v>
      </c>
      <c r="K10">
        <v>1429.83</v>
      </c>
      <c r="L10">
        <v>1223.82</v>
      </c>
      <c r="M10">
        <v>116.83</v>
      </c>
    </row>
    <row r="11" spans="1:18" x14ac:dyDescent="0.3">
      <c r="A11" s="1">
        <v>45848</v>
      </c>
      <c r="B11">
        <v>139</v>
      </c>
      <c r="C11">
        <v>358</v>
      </c>
      <c r="D11">
        <v>38.83</v>
      </c>
      <c r="E11">
        <v>191958.83</v>
      </c>
      <c r="F11">
        <v>497052.07</v>
      </c>
      <c r="G11">
        <v>38.619999999999997</v>
      </c>
      <c r="H11">
        <v>123741.81</v>
      </c>
      <c r="I11">
        <v>311034.12</v>
      </c>
      <c r="J11">
        <v>39.78</v>
      </c>
      <c r="K11">
        <v>1381</v>
      </c>
      <c r="L11">
        <v>1388.41</v>
      </c>
      <c r="M11">
        <v>99.47</v>
      </c>
    </row>
    <row r="12" spans="1:18" x14ac:dyDescent="0.3">
      <c r="A12" s="1">
        <v>45849</v>
      </c>
      <c r="B12">
        <v>158</v>
      </c>
      <c r="C12">
        <v>460</v>
      </c>
      <c r="D12">
        <v>34.35</v>
      </c>
      <c r="E12">
        <v>318903.86</v>
      </c>
      <c r="F12">
        <v>642146.47</v>
      </c>
      <c r="G12">
        <v>49.66</v>
      </c>
      <c r="H12">
        <v>202233.23</v>
      </c>
      <c r="I12">
        <v>400197.01</v>
      </c>
      <c r="J12">
        <v>50.53</v>
      </c>
      <c r="K12">
        <v>2018.38</v>
      </c>
      <c r="L12">
        <v>1395.97</v>
      </c>
      <c r="M12">
        <v>144.59</v>
      </c>
    </row>
    <row r="13" spans="1:18" x14ac:dyDescent="0.3">
      <c r="A13" s="1">
        <v>45850</v>
      </c>
      <c r="B13">
        <v>120</v>
      </c>
      <c r="C13">
        <v>383</v>
      </c>
      <c r="D13">
        <v>31.33</v>
      </c>
      <c r="E13">
        <v>192300.09</v>
      </c>
      <c r="F13">
        <v>500109.18</v>
      </c>
      <c r="G13">
        <v>38.450000000000003</v>
      </c>
      <c r="H13">
        <v>119501.85</v>
      </c>
      <c r="I13">
        <v>305138.84000000003</v>
      </c>
      <c r="J13">
        <v>39.159999999999997</v>
      </c>
      <c r="K13">
        <v>1602.5</v>
      </c>
      <c r="L13">
        <v>1305.77</v>
      </c>
      <c r="M13">
        <v>122.72</v>
      </c>
      <c r="N13">
        <v>2905</v>
      </c>
      <c r="O13" t="s">
        <v>22</v>
      </c>
      <c r="P13" t="s">
        <v>23</v>
      </c>
      <c r="Q13" s="2">
        <v>45850.424088564818</v>
      </c>
      <c r="R13" s="2">
        <v>45868.381122615741</v>
      </c>
    </row>
    <row r="14" spans="1:18" x14ac:dyDescent="0.3">
      <c r="A14" s="1">
        <v>45851</v>
      </c>
      <c r="B14">
        <v>86</v>
      </c>
      <c r="C14">
        <v>305</v>
      </c>
      <c r="D14">
        <v>28.2</v>
      </c>
      <c r="E14">
        <v>146386.12</v>
      </c>
      <c r="F14">
        <v>392759.28</v>
      </c>
      <c r="G14">
        <v>37.270000000000003</v>
      </c>
      <c r="H14">
        <v>91284.34</v>
      </c>
      <c r="I14">
        <v>242468.2</v>
      </c>
      <c r="J14">
        <v>37.65</v>
      </c>
      <c r="K14">
        <v>1702.16</v>
      </c>
      <c r="L14">
        <v>1287.74</v>
      </c>
      <c r="M14">
        <v>132.18</v>
      </c>
    </row>
    <row r="15" spans="1:18" x14ac:dyDescent="0.3">
      <c r="A15" s="1">
        <v>45852</v>
      </c>
      <c r="B15">
        <v>117</v>
      </c>
      <c r="C15">
        <v>385</v>
      </c>
      <c r="D15">
        <v>30.39</v>
      </c>
      <c r="E15">
        <v>175119.73</v>
      </c>
      <c r="F15">
        <v>442459.97</v>
      </c>
      <c r="G15">
        <v>39.58</v>
      </c>
      <c r="H15">
        <v>111610.21</v>
      </c>
      <c r="I15">
        <v>275308.06</v>
      </c>
      <c r="J15">
        <v>40.54</v>
      </c>
      <c r="K15">
        <v>1496.75</v>
      </c>
      <c r="L15">
        <v>1149.25</v>
      </c>
      <c r="M15">
        <v>130.24</v>
      </c>
    </row>
    <row r="16" spans="1:18" x14ac:dyDescent="0.3">
      <c r="A16" s="1">
        <v>45853</v>
      </c>
      <c r="B16">
        <v>113</v>
      </c>
      <c r="C16">
        <v>375</v>
      </c>
      <c r="D16">
        <v>30.13</v>
      </c>
      <c r="E16">
        <v>198588.66</v>
      </c>
      <c r="F16">
        <v>491208.48</v>
      </c>
      <c r="G16">
        <v>40.43</v>
      </c>
      <c r="H16">
        <v>126314.88</v>
      </c>
      <c r="I16">
        <v>306704.51</v>
      </c>
      <c r="J16">
        <v>41.18</v>
      </c>
      <c r="K16">
        <v>1757.42</v>
      </c>
      <c r="L16">
        <v>1309.8900000000001</v>
      </c>
      <c r="M16">
        <v>134.16999999999999</v>
      </c>
    </row>
    <row r="17" spans="1:18" x14ac:dyDescent="0.3">
      <c r="A17" s="1">
        <v>45854</v>
      </c>
      <c r="B17">
        <v>120</v>
      </c>
      <c r="C17">
        <v>393</v>
      </c>
      <c r="D17">
        <v>30.53</v>
      </c>
      <c r="E17">
        <v>209501.17</v>
      </c>
      <c r="F17">
        <v>503847.12</v>
      </c>
      <c r="G17">
        <v>41.58</v>
      </c>
      <c r="H17">
        <v>130439.73</v>
      </c>
      <c r="I17">
        <v>311076.24</v>
      </c>
      <c r="J17">
        <v>41.93</v>
      </c>
      <c r="K17">
        <v>1745.84</v>
      </c>
      <c r="L17">
        <v>1282.05</v>
      </c>
      <c r="M17">
        <v>136.18</v>
      </c>
    </row>
    <row r="18" spans="1:18" x14ac:dyDescent="0.3">
      <c r="A18" s="1">
        <v>45855</v>
      </c>
      <c r="B18">
        <v>131</v>
      </c>
      <c r="C18">
        <v>365</v>
      </c>
      <c r="D18">
        <v>35.89</v>
      </c>
      <c r="E18">
        <v>248739.63</v>
      </c>
      <c r="F18">
        <v>522438.82</v>
      </c>
      <c r="G18">
        <v>47.61</v>
      </c>
      <c r="H18">
        <v>153453.56</v>
      </c>
      <c r="I18">
        <v>320981.01</v>
      </c>
      <c r="J18">
        <v>47.81</v>
      </c>
      <c r="K18">
        <v>1898.78</v>
      </c>
      <c r="L18">
        <v>1431.34</v>
      </c>
      <c r="M18">
        <v>132.66</v>
      </c>
      <c r="N18">
        <v>2940</v>
      </c>
      <c r="O18" t="s">
        <v>24</v>
      </c>
      <c r="P18" t="s">
        <v>25</v>
      </c>
      <c r="Q18" s="2">
        <v>45855.572073611111</v>
      </c>
      <c r="R18" s="2">
        <v>45868.38112244213</v>
      </c>
    </row>
    <row r="19" spans="1:18" x14ac:dyDescent="0.3">
      <c r="A19" s="1">
        <v>45856</v>
      </c>
      <c r="B19">
        <v>104</v>
      </c>
      <c r="C19">
        <v>366</v>
      </c>
      <c r="D19">
        <v>28.42</v>
      </c>
      <c r="E19">
        <v>174550.79</v>
      </c>
      <c r="F19">
        <v>519561.01</v>
      </c>
      <c r="G19">
        <v>33.6</v>
      </c>
      <c r="H19">
        <v>107527.33</v>
      </c>
      <c r="I19">
        <v>317910.01</v>
      </c>
      <c r="J19">
        <v>33.82</v>
      </c>
      <c r="K19">
        <v>1678.37</v>
      </c>
      <c r="L19">
        <v>1419.57</v>
      </c>
      <c r="M19">
        <v>118.23</v>
      </c>
    </row>
    <row r="20" spans="1:18" x14ac:dyDescent="0.3">
      <c r="A20" s="1">
        <v>45857</v>
      </c>
      <c r="B20">
        <v>114</v>
      </c>
      <c r="C20">
        <v>348</v>
      </c>
      <c r="D20">
        <v>32.76</v>
      </c>
      <c r="E20">
        <v>189215.67</v>
      </c>
      <c r="F20">
        <v>481067.78</v>
      </c>
      <c r="G20">
        <v>39.33</v>
      </c>
      <c r="H20">
        <v>121491.72</v>
      </c>
      <c r="I20">
        <v>302790.75</v>
      </c>
      <c r="J20">
        <v>40.119999999999997</v>
      </c>
      <c r="K20">
        <v>1659.79</v>
      </c>
      <c r="L20">
        <v>1382.38</v>
      </c>
      <c r="M20">
        <v>120.07</v>
      </c>
      <c r="N20">
        <v>2971</v>
      </c>
      <c r="O20" t="s">
        <v>26</v>
      </c>
      <c r="P20" t="s">
        <v>27</v>
      </c>
      <c r="Q20" s="2">
        <v>45857.373662847232</v>
      </c>
      <c r="R20" s="2">
        <v>45868.38112229167</v>
      </c>
    </row>
    <row r="21" spans="1:18" x14ac:dyDescent="0.3">
      <c r="A21" s="1">
        <v>45858</v>
      </c>
      <c r="B21">
        <v>98</v>
      </c>
      <c r="C21">
        <v>290</v>
      </c>
      <c r="D21">
        <v>33.79</v>
      </c>
      <c r="E21">
        <v>181756.91</v>
      </c>
      <c r="F21">
        <v>437885.28</v>
      </c>
      <c r="G21">
        <v>41.51</v>
      </c>
      <c r="H21">
        <v>113551.67</v>
      </c>
      <c r="I21">
        <v>272003.14</v>
      </c>
      <c r="J21">
        <v>41.75</v>
      </c>
      <c r="K21">
        <v>1854.66</v>
      </c>
      <c r="L21">
        <v>1509.95</v>
      </c>
      <c r="M21">
        <v>122.83</v>
      </c>
    </row>
    <row r="22" spans="1:18" x14ac:dyDescent="0.3">
      <c r="A22" s="1">
        <v>45859</v>
      </c>
      <c r="B22">
        <v>105</v>
      </c>
      <c r="C22">
        <v>332</v>
      </c>
      <c r="D22">
        <v>31.63</v>
      </c>
      <c r="E22">
        <v>172007.38</v>
      </c>
      <c r="F22">
        <v>450376.81</v>
      </c>
      <c r="G22">
        <v>38.19</v>
      </c>
      <c r="H22">
        <v>109510.83</v>
      </c>
      <c r="I22">
        <v>278986.82</v>
      </c>
      <c r="J22">
        <v>39.25</v>
      </c>
      <c r="K22">
        <v>1638.17</v>
      </c>
      <c r="L22">
        <v>1356.56</v>
      </c>
      <c r="M22">
        <v>120.76</v>
      </c>
    </row>
    <row r="23" spans="1:18" x14ac:dyDescent="0.3">
      <c r="A23" s="1">
        <v>45860</v>
      </c>
      <c r="B23">
        <v>89</v>
      </c>
      <c r="C23">
        <v>308</v>
      </c>
      <c r="D23">
        <v>28.9</v>
      </c>
      <c r="E23">
        <v>156698.73000000001</v>
      </c>
      <c r="F23">
        <v>425366.03</v>
      </c>
      <c r="G23">
        <v>36.840000000000003</v>
      </c>
      <c r="H23">
        <v>96404.63</v>
      </c>
      <c r="I23">
        <v>260593.3</v>
      </c>
      <c r="J23">
        <v>36.99</v>
      </c>
      <c r="K23">
        <v>1760.66</v>
      </c>
      <c r="L23">
        <v>1381.06</v>
      </c>
      <c r="M23">
        <v>127.49</v>
      </c>
    </row>
    <row r="24" spans="1:18" x14ac:dyDescent="0.3">
      <c r="A24" s="1">
        <v>45861</v>
      </c>
      <c r="B24">
        <v>110</v>
      </c>
      <c r="C24">
        <v>284</v>
      </c>
      <c r="D24">
        <v>38.729999999999997</v>
      </c>
      <c r="E24">
        <v>201702.66</v>
      </c>
      <c r="F24">
        <v>414899.55</v>
      </c>
      <c r="G24">
        <v>48.61</v>
      </c>
      <c r="H24">
        <v>126616.77</v>
      </c>
      <c r="I24">
        <v>256020.36</v>
      </c>
      <c r="J24">
        <v>49.46</v>
      </c>
      <c r="K24">
        <v>1833.66</v>
      </c>
      <c r="L24">
        <v>1460.91</v>
      </c>
      <c r="M24">
        <v>125.51</v>
      </c>
    </row>
    <row r="25" spans="1:18" x14ac:dyDescent="0.3">
      <c r="A25" s="1">
        <v>45862</v>
      </c>
      <c r="B25">
        <v>97</v>
      </c>
      <c r="C25">
        <v>313</v>
      </c>
      <c r="D25">
        <v>30.99</v>
      </c>
      <c r="E25">
        <v>189478.54</v>
      </c>
      <c r="F25">
        <v>443011.28</v>
      </c>
      <c r="G25">
        <v>42.77</v>
      </c>
      <c r="H25">
        <v>120303.5</v>
      </c>
      <c r="I25">
        <v>274924.76</v>
      </c>
      <c r="J25">
        <v>43.76</v>
      </c>
      <c r="K25">
        <v>1953.39</v>
      </c>
      <c r="L25">
        <v>1415.37</v>
      </c>
      <c r="M25">
        <v>138.01</v>
      </c>
      <c r="N25">
        <v>3005</v>
      </c>
      <c r="O25" t="s">
        <v>28</v>
      </c>
      <c r="P25" t="s">
        <v>29</v>
      </c>
      <c r="Q25" s="2">
        <v>45862.569388344913</v>
      </c>
      <c r="R25" s="2">
        <v>45868.381122060193</v>
      </c>
    </row>
    <row r="26" spans="1:18" x14ac:dyDescent="0.3">
      <c r="A26" s="1">
        <v>45862</v>
      </c>
      <c r="B26">
        <v>97</v>
      </c>
      <c r="C26">
        <v>313</v>
      </c>
      <c r="D26">
        <v>30.99</v>
      </c>
      <c r="E26">
        <v>189478.54</v>
      </c>
      <c r="F26">
        <v>443011.28</v>
      </c>
      <c r="G26">
        <v>42.77</v>
      </c>
      <c r="H26">
        <v>120303.5</v>
      </c>
      <c r="I26">
        <v>274924.76</v>
      </c>
      <c r="J26">
        <v>43.76</v>
      </c>
      <c r="K26">
        <v>1953.39</v>
      </c>
      <c r="L26">
        <v>1415.37</v>
      </c>
      <c r="M26">
        <v>138.01</v>
      </c>
      <c r="N26">
        <v>3004</v>
      </c>
      <c r="O26" t="s">
        <v>30</v>
      </c>
      <c r="P26" t="s">
        <v>31</v>
      </c>
      <c r="Q26" s="2">
        <v>45862.534830208337</v>
      </c>
      <c r="R26" s="2">
        <v>45868.381122141203</v>
      </c>
    </row>
    <row r="27" spans="1:18" x14ac:dyDescent="0.3">
      <c r="A27" s="1">
        <v>45863</v>
      </c>
      <c r="B27">
        <v>94</v>
      </c>
      <c r="C27">
        <v>341</v>
      </c>
      <c r="D27">
        <v>27.57</v>
      </c>
      <c r="E27">
        <v>143021.28</v>
      </c>
      <c r="F27">
        <v>443584.44</v>
      </c>
      <c r="G27">
        <v>32.24</v>
      </c>
      <c r="H27">
        <v>90736.28</v>
      </c>
      <c r="I27">
        <v>277593.67</v>
      </c>
      <c r="J27">
        <v>32.69</v>
      </c>
      <c r="K27">
        <v>1521.5</v>
      </c>
      <c r="L27">
        <v>1300.83</v>
      </c>
      <c r="M27">
        <v>116.96</v>
      </c>
    </row>
    <row r="28" spans="1:18" x14ac:dyDescent="0.3">
      <c r="A28" s="1">
        <v>45864</v>
      </c>
      <c r="B28">
        <v>125</v>
      </c>
      <c r="C28">
        <v>323</v>
      </c>
      <c r="D28">
        <v>38.700000000000003</v>
      </c>
      <c r="E28">
        <v>237214.94</v>
      </c>
      <c r="F28">
        <v>498432.59</v>
      </c>
      <c r="G28">
        <v>47.59</v>
      </c>
      <c r="H28">
        <v>145914.15</v>
      </c>
      <c r="I28">
        <v>309460.62</v>
      </c>
      <c r="J28">
        <v>47.15</v>
      </c>
      <c r="K28">
        <v>1897.72</v>
      </c>
      <c r="L28">
        <v>1543.13</v>
      </c>
      <c r="M28">
        <v>122.98</v>
      </c>
    </row>
    <row r="29" spans="1:18" x14ac:dyDescent="0.3">
      <c r="A29" s="1">
        <v>45865</v>
      </c>
      <c r="B29">
        <v>120</v>
      </c>
      <c r="C29">
        <v>327</v>
      </c>
      <c r="D29">
        <v>36.700000000000003</v>
      </c>
      <c r="E29">
        <v>281743.61</v>
      </c>
      <c r="F29">
        <v>551629.84</v>
      </c>
      <c r="G29">
        <v>51.07</v>
      </c>
      <c r="H29">
        <v>176997.43</v>
      </c>
      <c r="I29">
        <v>344375.22</v>
      </c>
      <c r="J29">
        <v>51.4</v>
      </c>
      <c r="K29">
        <v>2347.86</v>
      </c>
      <c r="L29">
        <v>1686.94</v>
      </c>
      <c r="M29">
        <v>139.18</v>
      </c>
    </row>
    <row r="30" spans="1:18" x14ac:dyDescent="0.3">
      <c r="A30" s="1">
        <v>45866</v>
      </c>
      <c r="B30">
        <v>109</v>
      </c>
      <c r="C30">
        <v>364</v>
      </c>
      <c r="D30">
        <v>29.95</v>
      </c>
      <c r="E30">
        <v>229247.96</v>
      </c>
      <c r="F30">
        <v>573523.93999999994</v>
      </c>
      <c r="G30">
        <v>39.97</v>
      </c>
      <c r="H30">
        <v>141676.54999999999</v>
      </c>
      <c r="I30">
        <v>350936.16</v>
      </c>
      <c r="J30">
        <v>40.369999999999997</v>
      </c>
      <c r="K30">
        <v>2103.19</v>
      </c>
      <c r="L30">
        <v>1575.62</v>
      </c>
      <c r="M30">
        <v>133.47999999999999</v>
      </c>
    </row>
    <row r="31" spans="1:18" x14ac:dyDescent="0.3">
      <c r="A31" s="1">
        <v>45867</v>
      </c>
      <c r="B31">
        <v>112</v>
      </c>
      <c r="C31">
        <v>365</v>
      </c>
      <c r="D31">
        <v>30.68</v>
      </c>
      <c r="E31">
        <v>239337.67</v>
      </c>
      <c r="F31">
        <v>551718.12</v>
      </c>
      <c r="G31">
        <v>43.38</v>
      </c>
      <c r="H31">
        <v>151608.92000000001</v>
      </c>
      <c r="I31">
        <v>344771.16</v>
      </c>
      <c r="J31">
        <v>43.97</v>
      </c>
      <c r="K31">
        <v>2136.94</v>
      </c>
      <c r="L31">
        <v>1511.56</v>
      </c>
      <c r="M31">
        <v>141.37</v>
      </c>
      <c r="N31">
        <v>67</v>
      </c>
      <c r="O31" t="s">
        <v>32</v>
      </c>
      <c r="P31" t="s">
        <v>33</v>
      </c>
      <c r="Q31" s="2">
        <v>45563.512877499998</v>
      </c>
      <c r="R31" s="2">
        <v>45868.381133773153</v>
      </c>
    </row>
    <row r="32" spans="1:18" x14ac:dyDescent="0.3">
      <c r="A32" s="1">
        <v>45868</v>
      </c>
      <c r="B32">
        <v>132</v>
      </c>
      <c r="C32">
        <v>379</v>
      </c>
      <c r="D32">
        <v>34.83</v>
      </c>
      <c r="E32">
        <v>292974.40999999997</v>
      </c>
      <c r="F32">
        <v>623776.06000000006</v>
      </c>
      <c r="G32">
        <v>46.97</v>
      </c>
      <c r="H32">
        <v>180315.36</v>
      </c>
      <c r="I32">
        <v>382749.36</v>
      </c>
      <c r="J32">
        <v>47.11</v>
      </c>
      <c r="K32">
        <v>2219.5</v>
      </c>
      <c r="L32">
        <v>1645.85</v>
      </c>
      <c r="M32">
        <v>134.85</v>
      </c>
    </row>
    <row r="33" spans="1:18" x14ac:dyDescent="0.3">
      <c r="A33" s="1">
        <v>45869</v>
      </c>
      <c r="B33">
        <v>129</v>
      </c>
      <c r="C33">
        <v>371</v>
      </c>
      <c r="D33">
        <v>34.770000000000003</v>
      </c>
      <c r="E33">
        <v>307811.57</v>
      </c>
      <c r="F33">
        <v>692194.26</v>
      </c>
      <c r="G33">
        <v>44.47</v>
      </c>
      <c r="H33">
        <v>191698.56</v>
      </c>
      <c r="I33">
        <v>422966.07</v>
      </c>
      <c r="J33">
        <v>45.32</v>
      </c>
      <c r="K33">
        <v>2386.14</v>
      </c>
      <c r="L33">
        <v>1865.75</v>
      </c>
      <c r="M33">
        <v>127.89</v>
      </c>
    </row>
    <row r="34" spans="1:18" x14ac:dyDescent="0.3">
      <c r="A34" s="1">
        <v>45870</v>
      </c>
      <c r="B34">
        <v>128</v>
      </c>
      <c r="C34">
        <v>399</v>
      </c>
      <c r="D34">
        <v>32.08</v>
      </c>
      <c r="E34">
        <v>383370.73</v>
      </c>
      <c r="F34">
        <v>801659.36</v>
      </c>
      <c r="G34">
        <v>47.82</v>
      </c>
      <c r="H34">
        <v>229594.94</v>
      </c>
      <c r="I34">
        <v>485960.64</v>
      </c>
      <c r="J34">
        <v>47.25</v>
      </c>
      <c r="K34">
        <v>2995.08</v>
      </c>
      <c r="L34">
        <v>2009.17</v>
      </c>
      <c r="M34">
        <v>149.07</v>
      </c>
    </row>
    <row r="35" spans="1:18" x14ac:dyDescent="0.3">
      <c r="A35" s="1">
        <v>45871</v>
      </c>
      <c r="B35">
        <v>129</v>
      </c>
      <c r="C35">
        <v>428</v>
      </c>
      <c r="D35">
        <v>30.14</v>
      </c>
      <c r="E35">
        <v>386246.71</v>
      </c>
      <c r="F35">
        <v>970187.04</v>
      </c>
      <c r="G35">
        <v>39.81</v>
      </c>
      <c r="H35">
        <v>241720.58</v>
      </c>
      <c r="I35">
        <v>594917.48</v>
      </c>
      <c r="J35">
        <v>40.630000000000003</v>
      </c>
      <c r="K35">
        <v>2994.16</v>
      </c>
      <c r="L35">
        <v>2266.79</v>
      </c>
      <c r="M35">
        <v>132.09</v>
      </c>
      <c r="N35">
        <v>3041</v>
      </c>
      <c r="O35" t="s">
        <v>34</v>
      </c>
      <c r="P35" t="s">
        <v>35</v>
      </c>
      <c r="Q35" s="2">
        <v>45871.483767233804</v>
      </c>
      <c r="R35" s="2">
        <v>45871.483767858786</v>
      </c>
    </row>
    <row r="36" spans="1:18" x14ac:dyDescent="0.3">
      <c r="A36" s="1"/>
      <c r="N36">
        <v>3040</v>
      </c>
      <c r="O36" t="s">
        <v>36</v>
      </c>
      <c r="P36" t="s">
        <v>37</v>
      </c>
      <c r="Q36" s="2">
        <v>45871.361741365741</v>
      </c>
      <c r="R36" s="2">
        <v>45871.361741782413</v>
      </c>
    </row>
    <row r="37" spans="1:18" x14ac:dyDescent="0.3">
      <c r="A37" s="1">
        <v>45872</v>
      </c>
      <c r="B37">
        <v>150</v>
      </c>
      <c r="C37">
        <v>436</v>
      </c>
      <c r="D37">
        <v>34.4</v>
      </c>
      <c r="E37">
        <v>458425.61</v>
      </c>
      <c r="F37">
        <v>1023126.32</v>
      </c>
      <c r="G37">
        <v>44.81</v>
      </c>
      <c r="H37">
        <v>279687.82</v>
      </c>
      <c r="I37">
        <v>624739.99</v>
      </c>
      <c r="J37">
        <v>44.77</v>
      </c>
      <c r="K37">
        <v>3056.17</v>
      </c>
      <c r="L37">
        <v>2346.62</v>
      </c>
      <c r="M37">
        <v>130.24</v>
      </c>
    </row>
    <row r="38" spans="1:18" x14ac:dyDescent="0.3">
      <c r="A38" s="1">
        <v>45873</v>
      </c>
      <c r="B38">
        <v>171</v>
      </c>
      <c r="C38">
        <v>487</v>
      </c>
      <c r="D38">
        <v>35.11</v>
      </c>
      <c r="E38">
        <v>483056.44</v>
      </c>
      <c r="F38">
        <v>947319.05</v>
      </c>
      <c r="G38">
        <v>50.99</v>
      </c>
      <c r="H38">
        <v>296725.40999999997</v>
      </c>
      <c r="I38">
        <v>567650.66</v>
      </c>
      <c r="J38">
        <v>52.27</v>
      </c>
      <c r="K38">
        <v>2824.89</v>
      </c>
      <c r="L38">
        <v>1945.21</v>
      </c>
      <c r="M38">
        <v>145.22</v>
      </c>
      <c r="N38">
        <v>3042</v>
      </c>
      <c r="O38" t="s">
        <v>38</v>
      </c>
      <c r="P38" t="s">
        <v>39</v>
      </c>
      <c r="Q38" s="2">
        <v>45873.388217222222</v>
      </c>
      <c r="R38" s="2">
        <v>45873.393107442127</v>
      </c>
    </row>
    <row r="39" spans="1:18" x14ac:dyDescent="0.3">
      <c r="A39" s="1">
        <v>45874</v>
      </c>
      <c r="B39">
        <v>134</v>
      </c>
      <c r="C39">
        <v>452</v>
      </c>
      <c r="D39">
        <v>29.65</v>
      </c>
      <c r="E39">
        <v>426780.24</v>
      </c>
      <c r="F39">
        <v>1090984.18</v>
      </c>
      <c r="G39">
        <v>39.119999999999997</v>
      </c>
      <c r="H39">
        <v>265461.73</v>
      </c>
      <c r="I39">
        <v>664985.55000000005</v>
      </c>
      <c r="J39">
        <v>39.92</v>
      </c>
      <c r="K39">
        <v>3184.93</v>
      </c>
      <c r="L39">
        <v>2413.6799999999998</v>
      </c>
      <c r="M39">
        <v>131.94999999999999</v>
      </c>
      <c r="N39">
        <v>3070</v>
      </c>
      <c r="O39" t="s">
        <v>40</v>
      </c>
      <c r="P39" t="s">
        <v>41</v>
      </c>
      <c r="Q39" s="2">
        <v>45874.473280208331</v>
      </c>
      <c r="R39" s="2">
        <v>45874.473280625003</v>
      </c>
    </row>
    <row r="40" spans="1:18" x14ac:dyDescent="0.3">
      <c r="A40" s="1"/>
      <c r="E40">
        <f>SUM(E34:E39)</f>
        <v>2137879.7299999995</v>
      </c>
      <c r="F40">
        <f>SUM(F34:F39)</f>
        <v>4833275.9499999993</v>
      </c>
      <c r="G40">
        <f>Table1[[#Totals],[focus_sum]]/Table1[[#Totals],[total_sum]]</f>
        <v>0.44232519560568434</v>
      </c>
      <c r="H40">
        <f>SUM(H34:H39)</f>
        <v>1313190.48</v>
      </c>
      <c r="I40">
        <f>SUM(I34:I39)</f>
        <v>2938254.3200000003</v>
      </c>
      <c r="J40">
        <f>Table1[[#Totals],[focus_purchase]]/Table1[[#Totals],[total_purchase]]</f>
        <v>0.44692880090788051</v>
      </c>
      <c r="Q40" s="2"/>
      <c r="R40" s="2"/>
    </row>
  </sheetData>
  <conditionalFormatting sqref="D2:D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8ACB-7A27-4EA7-B9CA-3457F2EA3157}">
  <dimension ref="A2:M31"/>
  <sheetViews>
    <sheetView tabSelected="1" workbookViewId="0">
      <selection activeCell="G15" sqref="G15"/>
    </sheetView>
  </sheetViews>
  <sheetFormatPr defaultRowHeight="14.4" x14ac:dyDescent="0.3"/>
  <cols>
    <col min="1" max="1" width="16.21875" customWidth="1"/>
    <col min="2" max="2" width="13.33203125" customWidth="1"/>
    <col min="3" max="3" width="12.6640625" customWidth="1"/>
    <col min="4" max="4" width="11.44140625" customWidth="1"/>
    <col min="5" max="5" width="12" customWidth="1"/>
    <col min="6" max="6" width="11.33203125" customWidth="1"/>
    <col min="7" max="7" width="10.109375" customWidth="1"/>
    <col min="8" max="8" width="16.109375" customWidth="1"/>
    <col min="9" max="9" width="15.44140625" customWidth="1"/>
    <col min="10" max="10" width="14.21875" customWidth="1"/>
    <col min="11" max="11" width="18.6640625" customWidth="1"/>
    <col min="12" max="12" width="18" customWidth="1"/>
    <col min="13" max="13" width="16.77734375" customWidth="1"/>
  </cols>
  <sheetData>
    <row r="2" spans="1:13" x14ac:dyDescent="0.3">
      <c r="A2" s="7" t="s">
        <v>50</v>
      </c>
    </row>
    <row r="3" spans="1:13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8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</row>
    <row r="4" spans="1:13" x14ac:dyDescent="0.3">
      <c r="A4" t="s">
        <v>42</v>
      </c>
      <c r="B4">
        <v>16</v>
      </c>
      <c r="C4">
        <v>379</v>
      </c>
      <c r="D4">
        <v>4.22</v>
      </c>
      <c r="E4">
        <v>38506.19</v>
      </c>
      <c r="F4">
        <v>623776.06000000006</v>
      </c>
      <c r="G4">
        <v>6.17</v>
      </c>
      <c r="H4">
        <v>22403.71</v>
      </c>
      <c r="I4">
        <v>382622.74</v>
      </c>
      <c r="J4">
        <f>Table4[[#This Row],[focus_purchase]]/Table4[[#This Row],[total_purchase]]*100</f>
        <v>5.8553001841971017</v>
      </c>
      <c r="K4">
        <v>2406.64</v>
      </c>
      <c r="L4">
        <v>1645.85</v>
      </c>
      <c r="M4">
        <v>146.19999999999999</v>
      </c>
    </row>
    <row r="5" spans="1:13" x14ac:dyDescent="0.3">
      <c r="A5" t="s">
        <v>43</v>
      </c>
      <c r="B5">
        <v>18</v>
      </c>
      <c r="C5">
        <v>371</v>
      </c>
      <c r="D5">
        <v>4.8499999999999996</v>
      </c>
      <c r="E5">
        <v>64079.56</v>
      </c>
      <c r="F5">
        <v>692194.26</v>
      </c>
      <c r="G5">
        <v>9.26</v>
      </c>
      <c r="H5">
        <v>37959.81</v>
      </c>
      <c r="I5">
        <v>422920.2</v>
      </c>
      <c r="J5">
        <f>Table4[[#This Row],[focus_purchase]]/Table4[[#This Row],[total_purchase]]*100</f>
        <v>8.9756436320610824</v>
      </c>
      <c r="K5">
        <v>3559.98</v>
      </c>
      <c r="L5">
        <v>1865.75</v>
      </c>
      <c r="M5">
        <v>190.8</v>
      </c>
    </row>
    <row r="6" spans="1:13" x14ac:dyDescent="0.3">
      <c r="A6" t="s">
        <v>44</v>
      </c>
      <c r="B6">
        <v>18</v>
      </c>
      <c r="C6">
        <v>399</v>
      </c>
      <c r="D6">
        <v>4.51</v>
      </c>
      <c r="E6">
        <v>40366.68</v>
      </c>
      <c r="F6">
        <v>801659.36</v>
      </c>
      <c r="G6">
        <v>5.03</v>
      </c>
      <c r="H6">
        <v>25760.33</v>
      </c>
      <c r="I6">
        <v>485672.02</v>
      </c>
      <c r="J6">
        <f>Table4[[#This Row],[focus_purchase]]/Table4[[#This Row],[total_purchase]]*100</f>
        <v>5.3040588996664866</v>
      </c>
      <c r="K6">
        <v>2242.59</v>
      </c>
      <c r="L6">
        <v>2009.17</v>
      </c>
      <c r="M6">
        <v>111.62</v>
      </c>
    </row>
    <row r="7" spans="1:13" x14ac:dyDescent="0.3">
      <c r="A7" t="s">
        <v>45</v>
      </c>
      <c r="B7">
        <v>26</v>
      </c>
      <c r="C7">
        <v>428</v>
      </c>
      <c r="D7">
        <v>6.07</v>
      </c>
      <c r="E7">
        <v>124470.42</v>
      </c>
      <c r="F7">
        <v>970187.04</v>
      </c>
      <c r="G7">
        <v>12.83</v>
      </c>
      <c r="H7">
        <v>73776.03</v>
      </c>
      <c r="I7">
        <v>594113.56999999995</v>
      </c>
      <c r="J7">
        <f>Table4[[#This Row],[focus_purchase]]/Table4[[#This Row],[total_purchase]]*100</f>
        <v>12.417832839603378</v>
      </c>
      <c r="K7">
        <v>4787.32</v>
      </c>
      <c r="L7">
        <v>2266.79</v>
      </c>
      <c r="M7">
        <v>211.15</v>
      </c>
    </row>
    <row r="8" spans="1:13" x14ac:dyDescent="0.3">
      <c r="A8" t="s">
        <v>46</v>
      </c>
      <c r="B8">
        <v>35</v>
      </c>
      <c r="C8">
        <v>436</v>
      </c>
      <c r="D8">
        <f>Table4[[#This Row],[focus_count]]/Table4[[#This Row],[total_count]]*100</f>
        <v>8.0275229357798175</v>
      </c>
      <c r="E8">
        <v>151872.04</v>
      </c>
      <c r="F8">
        <v>1023126.32</v>
      </c>
      <c r="G8">
        <f>Table4[[#This Row],[focus_sum]]/Table4[[#This Row],[total_sum]]*100</f>
        <v>14.843918784143877</v>
      </c>
      <c r="H8">
        <f>92981.1</f>
        <v>92981.1</v>
      </c>
      <c r="I8">
        <v>624739.99</v>
      </c>
      <c r="J8">
        <f>Table4[[#This Row],[focus_purchase]]/Table4[[#This Row],[total_purchase]]*100</f>
        <v>14.883167635867203</v>
      </c>
      <c r="K8">
        <f>Table4[[#This Row],[focus_sum]]/Table4[[#This Row],[focus_count]]</f>
        <v>4339.2011428571432</v>
      </c>
      <c r="L8">
        <v>2346.62</v>
      </c>
      <c r="M8">
        <v>194.5</v>
      </c>
    </row>
    <row r="9" spans="1:13" x14ac:dyDescent="0.3">
      <c r="A9" t="s">
        <v>47</v>
      </c>
      <c r="B9">
        <v>35</v>
      </c>
      <c r="C9">
        <v>487</v>
      </c>
      <c r="D9">
        <v>7.19</v>
      </c>
      <c r="E9">
        <v>103567.62</v>
      </c>
      <c r="F9">
        <v>947319.05</v>
      </c>
      <c r="G9">
        <v>10.94</v>
      </c>
      <c r="H9">
        <v>60804.07</v>
      </c>
      <c r="I9">
        <v>567650.66</v>
      </c>
      <c r="J9">
        <f>Table4[[#This Row],[focus_purchase]]/Table4[[#This Row],[total_purchase]]*100</f>
        <v>10.711529869444703</v>
      </c>
      <c r="K9">
        <v>2959.07</v>
      </c>
      <c r="L9">
        <v>1945.21</v>
      </c>
      <c r="M9">
        <v>152.1</v>
      </c>
    </row>
    <row r="10" spans="1:13" x14ac:dyDescent="0.3">
      <c r="A10" t="s">
        <v>48</v>
      </c>
      <c r="B10">
        <v>24</v>
      </c>
      <c r="C10">
        <v>452</v>
      </c>
      <c r="D10">
        <v>5.31</v>
      </c>
      <c r="E10">
        <v>88139.03</v>
      </c>
      <c r="F10">
        <v>1090984.18</v>
      </c>
      <c r="G10">
        <v>8.08</v>
      </c>
      <c r="H10">
        <v>52060.32</v>
      </c>
      <c r="I10">
        <v>665459.79</v>
      </c>
      <c r="J10">
        <f>Table4[[#This Row],[focus_purchase]]/Table4[[#This Row],[total_purchase]]*100</f>
        <v>7.8232104752715399</v>
      </c>
      <c r="K10">
        <v>3672.46</v>
      </c>
      <c r="L10">
        <v>2413.6799999999998</v>
      </c>
      <c r="M10">
        <v>152.1</v>
      </c>
    </row>
    <row r="11" spans="1:13" x14ac:dyDescent="0.3">
      <c r="B11">
        <f>SUM(Table4[focus_count])</f>
        <v>172</v>
      </c>
      <c r="C11">
        <f>SUM(Table4[total_count])</f>
        <v>2952</v>
      </c>
      <c r="D11">
        <f>Table4[[#Totals],[focus_count]]/Table4[[#Totals],[total_count]]*100</f>
        <v>5.8265582655826558</v>
      </c>
      <c r="E11">
        <f>SUM(Table4[focus_sum])</f>
        <v>611001.54</v>
      </c>
      <c r="F11">
        <f>SUM(Table4[total_sum])</f>
        <v>6149246.2699999996</v>
      </c>
      <c r="G11">
        <f>Table4[[#Totals],[focus_sum]]/Table4[[#Totals],[total_sum]]*100</f>
        <v>9.9362021485602341</v>
      </c>
      <c r="H11">
        <f>SUM(Table4[focus_purchase])</f>
        <v>365745.37</v>
      </c>
      <c r="I11">
        <f>SUM(Table4[total_purchase])</f>
        <v>3743178.9699999997</v>
      </c>
      <c r="J11">
        <f>Table4[[#Totals],[focus_purchase]]/Table4[[#Totals],[total_purchase]]*100</f>
        <v>9.7709827109869671</v>
      </c>
      <c r="K11">
        <f>Table4[[#Totals],[focus_sum]]/Table4[[#Totals],[focus_count]]</f>
        <v>3552.3345348837211</v>
      </c>
      <c r="L11">
        <f>Table4[[#Totals],[total_sum]]/Table4[[#Totals],[total_count]]</f>
        <v>2083.0780047425474</v>
      </c>
      <c r="M11">
        <f>Table4[[#Totals],[focus_avg_cheque]]/Table4[[#Totals],[total_avg_cheque]]*100</f>
        <v>170.53295780552216</v>
      </c>
    </row>
    <row r="12" spans="1:13" x14ac:dyDescent="0.3">
      <c r="A12" s="7" t="s">
        <v>49</v>
      </c>
    </row>
    <row r="13" spans="1:13" x14ac:dyDescent="0.3">
      <c r="A13" s="8" t="s">
        <v>0</v>
      </c>
      <c r="B13" s="8" t="s">
        <v>51</v>
      </c>
      <c r="C13" s="8" t="s">
        <v>2</v>
      </c>
      <c r="D13" s="8" t="s">
        <v>3</v>
      </c>
      <c r="E13" s="8" t="s">
        <v>52</v>
      </c>
      <c r="F13" s="8" t="s">
        <v>5</v>
      </c>
      <c r="G13" s="8" t="s">
        <v>6</v>
      </c>
      <c r="H13" s="8" t="s">
        <v>53</v>
      </c>
      <c r="I13" s="8" t="s">
        <v>8</v>
      </c>
      <c r="J13" s="8" t="s">
        <v>9</v>
      </c>
      <c r="K13" s="8" t="s">
        <v>54</v>
      </c>
      <c r="L13" s="8" t="s">
        <v>11</v>
      </c>
      <c r="M13" s="8" t="s">
        <v>12</v>
      </c>
    </row>
    <row r="14" spans="1:13" x14ac:dyDescent="0.3">
      <c r="A14" t="s">
        <v>42</v>
      </c>
      <c r="B14">
        <v>10</v>
      </c>
      <c r="C14">
        <v>379</v>
      </c>
      <c r="D14">
        <v>2.64</v>
      </c>
      <c r="E14">
        <v>29440.77</v>
      </c>
      <c r="F14">
        <v>623776.06000000006</v>
      </c>
      <c r="G14">
        <v>4.72</v>
      </c>
      <c r="H14">
        <v>18031.599999999999</v>
      </c>
      <c r="I14">
        <v>382622.74</v>
      </c>
      <c r="J14">
        <v>4.71</v>
      </c>
      <c r="K14">
        <v>2944.08</v>
      </c>
      <c r="L14">
        <v>1645.85</v>
      </c>
      <c r="M14">
        <v>178.88</v>
      </c>
    </row>
    <row r="15" spans="1:13" x14ac:dyDescent="0.3">
      <c r="A15" t="s">
        <v>43</v>
      </c>
      <c r="B15">
        <v>11</v>
      </c>
      <c r="C15">
        <v>371</v>
      </c>
      <c r="D15">
        <v>2.96</v>
      </c>
      <c r="E15">
        <v>15242.22</v>
      </c>
      <c r="F15">
        <v>692194.26</v>
      </c>
      <c r="G15">
        <v>2.2000000000000002</v>
      </c>
      <c r="H15">
        <v>9371.4599999999991</v>
      </c>
      <c r="I15">
        <v>422920.2</v>
      </c>
      <c r="J15">
        <v>2.2200000000000002</v>
      </c>
      <c r="K15">
        <v>1385.66</v>
      </c>
      <c r="L15">
        <v>1865.75</v>
      </c>
      <c r="M15">
        <v>74.27</v>
      </c>
    </row>
    <row r="16" spans="1:13" x14ac:dyDescent="0.3">
      <c r="A16" t="s">
        <v>44</v>
      </c>
      <c r="B16">
        <v>11</v>
      </c>
      <c r="C16">
        <v>399</v>
      </c>
      <c r="D16">
        <v>2.76</v>
      </c>
      <c r="E16">
        <v>40201.9</v>
      </c>
      <c r="F16">
        <v>801659.36</v>
      </c>
      <c r="G16">
        <v>5.01</v>
      </c>
      <c r="H16">
        <v>24387.47</v>
      </c>
      <c r="I16">
        <v>485672.02</v>
      </c>
      <c r="J16">
        <v>5.0199999999999996</v>
      </c>
      <c r="K16">
        <v>3654.72</v>
      </c>
      <c r="L16">
        <v>2009.17</v>
      </c>
      <c r="M16">
        <v>181.9</v>
      </c>
    </row>
    <row r="17" spans="1:13" x14ac:dyDescent="0.3">
      <c r="A17" t="s">
        <v>45</v>
      </c>
      <c r="B17">
        <v>11</v>
      </c>
      <c r="C17">
        <v>428</v>
      </c>
      <c r="D17">
        <v>2.57</v>
      </c>
      <c r="E17">
        <v>20834.71</v>
      </c>
      <c r="F17">
        <v>970187.04</v>
      </c>
      <c r="G17">
        <v>2.15</v>
      </c>
      <c r="H17">
        <v>14638.72</v>
      </c>
      <c r="I17">
        <v>594113.56999999995</v>
      </c>
      <c r="J17">
        <v>2.46</v>
      </c>
      <c r="K17">
        <v>1894.06</v>
      </c>
      <c r="L17">
        <v>2266.79</v>
      </c>
      <c r="M17">
        <v>83.56</v>
      </c>
    </row>
    <row r="18" spans="1:13" x14ac:dyDescent="0.3">
      <c r="A18" t="s">
        <v>46</v>
      </c>
      <c r="B18">
        <v>12</v>
      </c>
      <c r="C18">
        <v>436</v>
      </c>
      <c r="D18">
        <v>2.5</v>
      </c>
      <c r="E18">
        <v>28849</v>
      </c>
      <c r="F18">
        <v>1023126.32</v>
      </c>
      <c r="G18">
        <v>2.42</v>
      </c>
      <c r="H18">
        <v>18952.900000000001</v>
      </c>
      <c r="I18">
        <v>624739.99</v>
      </c>
      <c r="J18">
        <v>2.74</v>
      </c>
      <c r="K18">
        <f>Table2[[#This Row],[sum]]/Table2[[#This Row],[count]]</f>
        <v>2404.0833333333335</v>
      </c>
      <c r="L18">
        <v>2346.62</v>
      </c>
      <c r="M18">
        <v>96.6</v>
      </c>
    </row>
    <row r="19" spans="1:13" x14ac:dyDescent="0.3">
      <c r="A19" t="s">
        <v>47</v>
      </c>
      <c r="B19">
        <v>22</v>
      </c>
      <c r="C19">
        <v>487</v>
      </c>
      <c r="D19">
        <v>4.5199999999999996</v>
      </c>
      <c r="E19">
        <v>52804.88</v>
      </c>
      <c r="F19">
        <v>947319.05</v>
      </c>
      <c r="G19">
        <v>5.57</v>
      </c>
      <c r="H19">
        <v>31668.23</v>
      </c>
      <c r="I19">
        <v>567650.66</v>
      </c>
      <c r="J19">
        <v>5.58</v>
      </c>
      <c r="K19">
        <v>2400.2199999999998</v>
      </c>
      <c r="L19">
        <v>1945.21</v>
      </c>
      <c r="M19">
        <v>123.39</v>
      </c>
    </row>
    <row r="20" spans="1:13" x14ac:dyDescent="0.3">
      <c r="A20" t="s">
        <v>48</v>
      </c>
      <c r="B20">
        <v>21</v>
      </c>
      <c r="C20">
        <v>452</v>
      </c>
      <c r="D20">
        <v>4.6500000000000004</v>
      </c>
      <c r="E20">
        <v>45149.42</v>
      </c>
      <c r="F20">
        <v>1090984.18</v>
      </c>
      <c r="G20">
        <v>4.1399999999999997</v>
      </c>
      <c r="H20">
        <v>27937.360000000001</v>
      </c>
      <c r="I20">
        <v>665459.79</v>
      </c>
      <c r="J20">
        <v>4.2</v>
      </c>
      <c r="K20">
        <v>2149.9699999999998</v>
      </c>
      <c r="L20">
        <v>2413.6799999999998</v>
      </c>
      <c r="M20">
        <v>89.07</v>
      </c>
    </row>
    <row r="21" spans="1:13" x14ac:dyDescent="0.3">
      <c r="B21">
        <f>SUM(Table2[count])</f>
        <v>98</v>
      </c>
      <c r="C21">
        <f>SUM(Table2[total_count])</f>
        <v>2952</v>
      </c>
      <c r="D21">
        <f>Table2[[#Totals],[count]]/Table2[[#Totals],[total_count]]*100</f>
        <v>3.3197831978319785</v>
      </c>
      <c r="E21">
        <f>SUM(Table2[sum])</f>
        <v>232522.90000000002</v>
      </c>
      <c r="F21">
        <f>SUM(Table2[total_sum])</f>
        <v>6149246.2699999996</v>
      </c>
      <c r="G21">
        <f>Table2[[#Totals],[sum]]/Table2[[#Totals],[total_sum]]*100</f>
        <v>3.7813235930132949</v>
      </c>
      <c r="H21">
        <f>SUM(Table2[purchase])</f>
        <v>144987.74</v>
      </c>
      <c r="I21">
        <f>SUM(Table4[total_purchase])</f>
        <v>3743178.9699999997</v>
      </c>
      <c r="J21">
        <f>Table2[[#Totals],[purchase]]/Table2[[#Totals],[total_purchase]]*100</f>
        <v>3.8733851937621888</v>
      </c>
      <c r="K21">
        <f>Table2[[#Totals],[sum]]/Table2[[#Totals],[count]]</f>
        <v>2372.6826530612248</v>
      </c>
      <c r="L21">
        <f>Table2[[#Totals],[total_sum]]/Table2[[#Totals],[total_count]]</f>
        <v>2083.0780047425474</v>
      </c>
      <c r="M21">
        <f>Table2[[#Totals],[avg_cheque]]/Table2[[#Totals],[total_avg_cheque]]*100</f>
        <v>113.90272700586988</v>
      </c>
    </row>
    <row r="24" spans="1:13" x14ac:dyDescent="0.3">
      <c r="A24" s="7" t="s">
        <v>60</v>
      </c>
    </row>
    <row r="25" spans="1:13" x14ac:dyDescent="0.3">
      <c r="A25" s="12" t="s">
        <v>0</v>
      </c>
      <c r="B25" s="12" t="s">
        <v>51</v>
      </c>
      <c r="C25" s="12" t="s">
        <v>2</v>
      </c>
      <c r="D25" s="12" t="s">
        <v>3</v>
      </c>
      <c r="E25" s="12" t="s">
        <v>52</v>
      </c>
      <c r="F25" s="12" t="s">
        <v>5</v>
      </c>
      <c r="G25" s="12" t="s">
        <v>6</v>
      </c>
      <c r="H25" s="12" t="s">
        <v>53</v>
      </c>
      <c r="I25" s="12" t="s">
        <v>8</v>
      </c>
      <c r="J25" s="12" t="s">
        <v>9</v>
      </c>
      <c r="K25" s="12" t="s">
        <v>54</v>
      </c>
      <c r="L25" s="12" t="s">
        <v>11</v>
      </c>
      <c r="M25" s="12" t="s">
        <v>12</v>
      </c>
    </row>
    <row r="26" spans="1:13" x14ac:dyDescent="0.3">
      <c r="A26" s="9" t="s">
        <v>44</v>
      </c>
      <c r="B26">
        <f>SUM(B16+B6)</f>
        <v>29</v>
      </c>
      <c r="C26" s="4">
        <v>399</v>
      </c>
      <c r="D26">
        <f>B26/C26*100</f>
        <v>7.2681704260651623</v>
      </c>
      <c r="E26">
        <f>SUM(E16+E6)</f>
        <v>80568.58</v>
      </c>
      <c r="F26" s="4">
        <v>801659.36</v>
      </c>
      <c r="G26">
        <f t="shared" ref="G26:G31" si="0">E26/F26*100</f>
        <v>10.050226320565883</v>
      </c>
      <c r="H26">
        <f>SUM(H16+H6)</f>
        <v>50147.8</v>
      </c>
      <c r="I26" s="4">
        <v>485672.02</v>
      </c>
      <c r="J26">
        <f t="shared" ref="J26:J31" si="1">H26/I26*100</f>
        <v>10.325445554800543</v>
      </c>
      <c r="K26">
        <f t="shared" ref="K26:K31" si="2">E26/B26</f>
        <v>2778.2268965517242</v>
      </c>
      <c r="L26" s="4">
        <v>2009.17</v>
      </c>
      <c r="M26">
        <f>K26/L26*100</f>
        <v>138.27734320897306</v>
      </c>
    </row>
    <row r="27" spans="1:13" x14ac:dyDescent="0.3">
      <c r="A27" s="10" t="s">
        <v>45</v>
      </c>
      <c r="B27">
        <f>SUM(B17+B7)</f>
        <v>37</v>
      </c>
      <c r="C27" s="5">
        <v>428</v>
      </c>
      <c r="D27">
        <f t="shared" ref="D27:D31" si="3">B27/C27*100</f>
        <v>8.6448598130841123</v>
      </c>
      <c r="E27">
        <f>SUM(E17+E7)</f>
        <v>145305.13</v>
      </c>
      <c r="F27" s="5">
        <v>970187.04</v>
      </c>
      <c r="G27">
        <f t="shared" si="0"/>
        <v>14.977022368800144</v>
      </c>
      <c r="H27">
        <f>SUM(H17+H7)</f>
        <v>88414.75</v>
      </c>
      <c r="I27" s="5">
        <v>594113.56999999995</v>
      </c>
      <c r="J27">
        <f t="shared" si="1"/>
        <v>14.881792718520131</v>
      </c>
      <c r="K27">
        <f t="shared" si="2"/>
        <v>3927.1656756756756</v>
      </c>
      <c r="L27" s="5">
        <v>2266.79</v>
      </c>
      <c r="M27">
        <f>K27/L27*100</f>
        <v>173.24788249796742</v>
      </c>
    </row>
    <row r="28" spans="1:13" x14ac:dyDescent="0.3">
      <c r="A28" s="9" t="s">
        <v>46</v>
      </c>
      <c r="B28">
        <f>SUM(B18+B8)</f>
        <v>47</v>
      </c>
      <c r="C28">
        <v>436</v>
      </c>
      <c r="D28">
        <f t="shared" si="3"/>
        <v>10.779816513761469</v>
      </c>
      <c r="E28">
        <f>SUM(E18+E8)</f>
        <v>180721.04</v>
      </c>
      <c r="F28">
        <v>1023126.32</v>
      </c>
      <c r="G28">
        <f t="shared" si="0"/>
        <v>17.663609709502932</v>
      </c>
      <c r="H28">
        <f>SUM(H18+H8)</f>
        <v>111934</v>
      </c>
      <c r="I28">
        <v>624739.99</v>
      </c>
      <c r="J28">
        <f t="shared" si="1"/>
        <v>17.916893714455512</v>
      </c>
      <c r="K28">
        <f t="shared" si="2"/>
        <v>3845.1285106382979</v>
      </c>
      <c r="L28">
        <v>2346.62</v>
      </c>
      <c r="M28">
        <f t="shared" ref="M28:M31" si="4">K28/L28*100</f>
        <v>163.85816666687825</v>
      </c>
    </row>
    <row r="29" spans="1:13" x14ac:dyDescent="0.3">
      <c r="A29" s="10" t="s">
        <v>47</v>
      </c>
      <c r="B29">
        <f>SUM(B19+B9)</f>
        <v>57</v>
      </c>
      <c r="C29" s="5">
        <v>487</v>
      </c>
      <c r="D29">
        <f t="shared" si="3"/>
        <v>11.704312114989733</v>
      </c>
      <c r="E29">
        <f>SUM(E19+E9)</f>
        <v>156372.5</v>
      </c>
      <c r="F29" s="5">
        <v>947319.05</v>
      </c>
      <c r="G29">
        <f t="shared" si="0"/>
        <v>16.506846347067547</v>
      </c>
      <c r="H29">
        <f>SUM(H19+H9)</f>
        <v>92472.3</v>
      </c>
      <c r="I29" s="5">
        <v>567650.66</v>
      </c>
      <c r="J29">
        <f t="shared" si="1"/>
        <v>16.29035364813986</v>
      </c>
      <c r="K29">
        <f t="shared" si="2"/>
        <v>2743.3771929824561</v>
      </c>
      <c r="L29" s="5">
        <v>1945.21</v>
      </c>
      <c r="M29">
        <f t="shared" si="4"/>
        <v>141.03244343708167</v>
      </c>
    </row>
    <row r="30" spans="1:13" x14ac:dyDescent="0.3">
      <c r="A30" s="9" t="s">
        <v>48</v>
      </c>
      <c r="B30">
        <f>SUM(B20+B10)</f>
        <v>45</v>
      </c>
      <c r="C30" s="4">
        <v>452</v>
      </c>
      <c r="D30">
        <f t="shared" si="3"/>
        <v>9.9557522123893811</v>
      </c>
      <c r="E30">
        <f>SUM(E20+E10)</f>
        <v>133288.45000000001</v>
      </c>
      <c r="F30" s="4">
        <v>1090984.18</v>
      </c>
      <c r="G30">
        <f t="shared" si="0"/>
        <v>12.217266981818199</v>
      </c>
      <c r="H30">
        <f>SUM(H20+H10)</f>
        <v>79997.679999999993</v>
      </c>
      <c r="I30" s="4">
        <v>665459.79</v>
      </c>
      <c r="J30">
        <f t="shared" si="1"/>
        <v>12.021414547075787</v>
      </c>
      <c r="K30">
        <f t="shared" si="2"/>
        <v>2961.965555555556</v>
      </c>
      <c r="L30" s="4">
        <v>2413.6799999999998</v>
      </c>
      <c r="M30">
        <f t="shared" si="4"/>
        <v>122.71575169680969</v>
      </c>
    </row>
    <row r="31" spans="1:13" x14ac:dyDescent="0.3">
      <c r="B31">
        <f>SUM(B26:B30)</f>
        <v>215</v>
      </c>
      <c r="C31">
        <f>SUM(C26:C30)</f>
        <v>2202</v>
      </c>
      <c r="D31">
        <f t="shared" si="3"/>
        <v>9.763851044504996</v>
      </c>
      <c r="E31">
        <f>SUM(E26:E30)</f>
        <v>696255.7</v>
      </c>
      <c r="F31">
        <f>SUM(F26:F30)</f>
        <v>4833275.9499999993</v>
      </c>
      <c r="G31">
        <f t="shared" si="0"/>
        <v>14.405461372425881</v>
      </c>
      <c r="H31">
        <f>SUM(H26:H30)</f>
        <v>422966.52999999997</v>
      </c>
      <c r="I31">
        <f>SUM(I26:I30)</f>
        <v>2937636.03</v>
      </c>
      <c r="J31">
        <f t="shared" si="1"/>
        <v>14.398193842958824</v>
      </c>
      <c r="K31">
        <f t="shared" si="2"/>
        <v>3238.3986046511627</v>
      </c>
      <c r="L31">
        <f>F31/C31</f>
        <v>2194.9482061762033</v>
      </c>
      <c r="M31">
        <f t="shared" si="4"/>
        <v>147.53872531200832</v>
      </c>
    </row>
  </sheetData>
  <conditionalFormatting sqref="D4:D11 D14:D21 G4:G11 G14:G21 J14:J21 M4:M11 M14:M21 J4:J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6:D31 G26:G31 J26:J31 M26:M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DC95-58C8-432D-B636-F762D0776F70}">
  <dimension ref="A1:M14"/>
  <sheetViews>
    <sheetView workbookViewId="0">
      <selection activeCell="L11" sqref="L11"/>
    </sheetView>
  </sheetViews>
  <sheetFormatPr defaultRowHeight="14.4" x14ac:dyDescent="0.3"/>
  <cols>
    <col min="1" max="1" width="14.109375" customWidth="1"/>
    <col min="2" max="2" width="13.33203125" customWidth="1"/>
    <col min="3" max="3" width="12.6640625" customWidth="1"/>
    <col min="4" max="4" width="11.44140625" customWidth="1"/>
    <col min="5" max="5" width="12" customWidth="1"/>
    <col min="6" max="6" width="11.33203125" customWidth="1"/>
    <col min="7" max="7" width="10.109375" customWidth="1"/>
    <col min="8" max="8" width="16.109375" customWidth="1"/>
    <col min="9" max="9" width="15.44140625" customWidth="1"/>
    <col min="10" max="10" width="14.21875" customWidth="1"/>
    <col min="11" max="11" width="18.6640625" customWidth="1"/>
    <col min="12" max="12" width="18" customWidth="1"/>
    <col min="13" max="13" width="16.77734375" customWidth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 x14ac:dyDescent="0.3">
      <c r="A2" t="s">
        <v>55</v>
      </c>
      <c r="B2">
        <v>154</v>
      </c>
      <c r="C2">
        <v>341</v>
      </c>
      <c r="D2">
        <v>45.16</v>
      </c>
      <c r="E2">
        <v>119858.23</v>
      </c>
      <c r="F2">
        <v>443584.44</v>
      </c>
      <c r="G2">
        <v>27.02</v>
      </c>
      <c r="H2">
        <v>77844.98</v>
      </c>
      <c r="I2">
        <v>277618.96000000002</v>
      </c>
      <c r="J2">
        <v>28.04</v>
      </c>
      <c r="K2">
        <v>778.3</v>
      </c>
      <c r="L2">
        <v>1300.83</v>
      </c>
      <c r="M2">
        <v>59.83</v>
      </c>
    </row>
    <row r="3" spans="1:13" x14ac:dyDescent="0.3">
      <c r="A3" t="s">
        <v>56</v>
      </c>
      <c r="B3">
        <v>115</v>
      </c>
      <c r="C3">
        <v>323</v>
      </c>
      <c r="D3">
        <v>35.6</v>
      </c>
      <c r="E3">
        <v>103978.23</v>
      </c>
      <c r="F3">
        <v>498432.59</v>
      </c>
      <c r="G3">
        <v>20.86</v>
      </c>
      <c r="H3">
        <v>64665.33</v>
      </c>
      <c r="I3">
        <v>309460.62</v>
      </c>
      <c r="J3">
        <v>20.9</v>
      </c>
      <c r="K3">
        <v>904.16</v>
      </c>
      <c r="L3">
        <v>1543.13</v>
      </c>
      <c r="M3">
        <v>58.59</v>
      </c>
    </row>
    <row r="4" spans="1:13" x14ac:dyDescent="0.3">
      <c r="A4" t="s">
        <v>57</v>
      </c>
      <c r="B4">
        <v>124</v>
      </c>
      <c r="C4">
        <v>327</v>
      </c>
      <c r="D4">
        <v>37.92</v>
      </c>
      <c r="E4">
        <v>98445.5</v>
      </c>
      <c r="F4">
        <v>551629.84</v>
      </c>
      <c r="G4">
        <v>17.850000000000001</v>
      </c>
      <c r="H4">
        <v>61277.71</v>
      </c>
      <c r="I4">
        <v>344375.22</v>
      </c>
      <c r="J4">
        <v>17.79</v>
      </c>
      <c r="K4">
        <v>793.92</v>
      </c>
      <c r="L4">
        <v>1686.94</v>
      </c>
      <c r="M4">
        <v>47.06</v>
      </c>
    </row>
    <row r="5" spans="1:13" x14ac:dyDescent="0.3">
      <c r="A5" t="s">
        <v>58</v>
      </c>
      <c r="B5">
        <v>150</v>
      </c>
      <c r="C5">
        <v>364</v>
      </c>
      <c r="D5">
        <v>41.21</v>
      </c>
      <c r="E5">
        <v>124113.13</v>
      </c>
      <c r="F5">
        <v>573523.93999999994</v>
      </c>
      <c r="G5">
        <v>21.64</v>
      </c>
      <c r="H5">
        <v>76994.41</v>
      </c>
      <c r="I5">
        <v>350936.16</v>
      </c>
      <c r="J5">
        <v>21.94</v>
      </c>
      <c r="K5">
        <v>827.42</v>
      </c>
      <c r="L5">
        <v>1575.62</v>
      </c>
      <c r="M5">
        <v>52.51</v>
      </c>
    </row>
    <row r="6" spans="1:13" x14ac:dyDescent="0.3">
      <c r="A6" t="s">
        <v>59</v>
      </c>
      <c r="B6">
        <v>156</v>
      </c>
      <c r="C6">
        <v>365</v>
      </c>
      <c r="D6">
        <v>42.74</v>
      </c>
      <c r="E6">
        <v>108631.47</v>
      </c>
      <c r="F6">
        <v>551718.12</v>
      </c>
      <c r="G6">
        <v>19.690000000000001</v>
      </c>
      <c r="H6">
        <v>66806.45</v>
      </c>
      <c r="I6">
        <v>344771.16</v>
      </c>
      <c r="J6">
        <v>19.38</v>
      </c>
      <c r="K6">
        <v>696.36</v>
      </c>
      <c r="L6">
        <v>1511.56</v>
      </c>
      <c r="M6">
        <v>46.07</v>
      </c>
    </row>
    <row r="7" spans="1:13" x14ac:dyDescent="0.3">
      <c r="A7" t="s">
        <v>42</v>
      </c>
      <c r="B7">
        <v>160</v>
      </c>
      <c r="C7">
        <v>379</v>
      </c>
      <c r="D7">
        <v>42.22</v>
      </c>
      <c r="E7">
        <v>121429</v>
      </c>
      <c r="F7">
        <v>623776.06000000006</v>
      </c>
      <c r="G7">
        <v>19.47</v>
      </c>
      <c r="H7">
        <v>76267.259999999995</v>
      </c>
      <c r="I7">
        <v>382622.74</v>
      </c>
      <c r="J7">
        <v>19.93</v>
      </c>
      <c r="K7">
        <v>758.93</v>
      </c>
      <c r="L7">
        <v>1645.85</v>
      </c>
      <c r="M7">
        <v>46.11</v>
      </c>
    </row>
    <row r="8" spans="1:13" x14ac:dyDescent="0.3">
      <c r="A8" t="s">
        <v>43</v>
      </c>
      <c r="B8">
        <v>128</v>
      </c>
      <c r="C8">
        <v>371</v>
      </c>
      <c r="D8">
        <v>34.5</v>
      </c>
      <c r="E8">
        <v>113643.8</v>
      </c>
      <c r="F8">
        <v>692194.26</v>
      </c>
      <c r="G8">
        <v>16.420000000000002</v>
      </c>
      <c r="H8">
        <v>69739.679999999993</v>
      </c>
      <c r="I8">
        <v>422920.2</v>
      </c>
      <c r="J8">
        <v>16.489999999999998</v>
      </c>
      <c r="K8">
        <v>887.84</v>
      </c>
      <c r="L8">
        <v>1865.75</v>
      </c>
      <c r="M8">
        <v>47.59</v>
      </c>
    </row>
    <row r="9" spans="1:13" x14ac:dyDescent="0.3">
      <c r="A9" t="s">
        <v>44</v>
      </c>
      <c r="B9">
        <v>172</v>
      </c>
      <c r="C9">
        <v>399</v>
      </c>
      <c r="D9">
        <v>43.11</v>
      </c>
      <c r="E9">
        <v>147897.41</v>
      </c>
      <c r="F9">
        <v>801659.36</v>
      </c>
      <c r="G9">
        <v>18.45</v>
      </c>
      <c r="H9">
        <v>90669.440000000002</v>
      </c>
      <c r="I9">
        <v>485672.02</v>
      </c>
      <c r="J9">
        <v>18.670000000000002</v>
      </c>
      <c r="K9">
        <v>859.87</v>
      </c>
      <c r="L9">
        <v>2009.17</v>
      </c>
      <c r="M9">
        <v>42.8</v>
      </c>
    </row>
    <row r="10" spans="1:13" x14ac:dyDescent="0.3">
      <c r="A10" t="s">
        <v>45</v>
      </c>
      <c r="B10">
        <v>170</v>
      </c>
      <c r="C10">
        <v>428</v>
      </c>
      <c r="D10">
        <v>39.72</v>
      </c>
      <c r="E10">
        <v>211437.1</v>
      </c>
      <c r="F10">
        <v>970187.04</v>
      </c>
      <c r="G10">
        <v>21.79</v>
      </c>
      <c r="H10">
        <v>127442.61</v>
      </c>
      <c r="I10">
        <v>594113.56999999995</v>
      </c>
      <c r="J10">
        <v>21.45</v>
      </c>
      <c r="K10">
        <v>1243.75</v>
      </c>
      <c r="L10">
        <v>2266.79</v>
      </c>
      <c r="M10">
        <v>54.87</v>
      </c>
    </row>
    <row r="11" spans="1:13" x14ac:dyDescent="0.3">
      <c r="A11" t="s">
        <v>46</v>
      </c>
      <c r="B11">
        <v>148</v>
      </c>
      <c r="C11">
        <v>436</v>
      </c>
      <c r="D11">
        <f>Table6[[#This Row],[focus_count]]/Table6[[#This Row],[total_count]]*100</f>
        <v>33.944954128440372</v>
      </c>
      <c r="E11">
        <v>132371.20000000001</v>
      </c>
      <c r="F11">
        <v>1023126.32</v>
      </c>
      <c r="G11">
        <f>Table6[[#This Row],[focus_sum]]/Table6[[#This Row],[total_sum]]*100</f>
        <v>12.937913668372838</v>
      </c>
      <c r="H11">
        <v>82902.960000000006</v>
      </c>
      <c r="I11">
        <v>624739.99</v>
      </c>
      <c r="J11">
        <f>Table6[[#This Row],[focus_purchase]]/Table6[[#This Row],[total_purchase]]*100</f>
        <v>13.269994129877938</v>
      </c>
      <c r="K11">
        <f>Table6[[#This Row],[focus_sum]]/Table6[[#This Row],[focus_count]]</f>
        <v>894.40000000000009</v>
      </c>
      <c r="L11">
        <f>Table6[[#This Row],[total_sum]]/Table6[[#This Row],[total_count]]</f>
        <v>2346.62</v>
      </c>
      <c r="M11">
        <f>Table6[[#This Row],[focus_avg_cheque]]/Table6[[#This Row],[total_avg_cheque]]*100</f>
        <v>38.114394320341603</v>
      </c>
    </row>
    <row r="12" spans="1:13" x14ac:dyDescent="0.3">
      <c r="A12" t="s">
        <v>47</v>
      </c>
      <c r="B12">
        <v>190</v>
      </c>
      <c r="C12">
        <v>487</v>
      </c>
      <c r="D12">
        <v>39.01</v>
      </c>
      <c r="E12">
        <v>142505.5</v>
      </c>
      <c r="F12">
        <v>947319.05</v>
      </c>
      <c r="G12">
        <v>15.04</v>
      </c>
      <c r="H12">
        <v>84955.81</v>
      </c>
      <c r="I12">
        <v>567650.66</v>
      </c>
      <c r="J12">
        <v>14.97</v>
      </c>
      <c r="K12">
        <v>750.03</v>
      </c>
      <c r="L12">
        <v>1945.21</v>
      </c>
      <c r="M12">
        <v>38.56</v>
      </c>
    </row>
    <row r="13" spans="1:13" x14ac:dyDescent="0.3">
      <c r="A13" t="s">
        <v>48</v>
      </c>
      <c r="B13">
        <v>168</v>
      </c>
      <c r="C13">
        <v>452</v>
      </c>
      <c r="D13">
        <v>37.17</v>
      </c>
      <c r="E13">
        <v>150919.5</v>
      </c>
      <c r="F13">
        <v>1090984.18</v>
      </c>
      <c r="G13">
        <v>13.83</v>
      </c>
      <c r="H13">
        <v>95710.89</v>
      </c>
      <c r="I13">
        <v>665459.79</v>
      </c>
      <c r="J13">
        <v>14.38</v>
      </c>
      <c r="K13">
        <v>898.33</v>
      </c>
      <c r="L13">
        <v>2413.6799999999998</v>
      </c>
      <c r="M13">
        <v>37.22</v>
      </c>
    </row>
    <row r="14" spans="1:13" x14ac:dyDescent="0.3">
      <c r="B14">
        <f>SUM(B2:B13)</f>
        <v>1835</v>
      </c>
      <c r="C14">
        <f>SUM(C2:C13)</f>
        <v>4672</v>
      </c>
      <c r="D14" s="7">
        <f>B14/C14*100</f>
        <v>39.276541095890408</v>
      </c>
      <c r="E14">
        <f>SUM(E2:E13)</f>
        <v>1575230.07</v>
      </c>
      <c r="F14">
        <f>SUM(F2:F13)</f>
        <v>8768135.2000000011</v>
      </c>
      <c r="G14" s="7">
        <f>E14/F14*100</f>
        <v>17.965394397659377</v>
      </c>
      <c r="H14">
        <f>SUM(H2:H13)</f>
        <v>975277.52999999991</v>
      </c>
      <c r="I14">
        <f>SUM(I2:I13)</f>
        <v>5370341.0899999999</v>
      </c>
      <c r="J14" s="7">
        <f>H14/I14*100</f>
        <v>18.160439228265108</v>
      </c>
      <c r="K14">
        <f>E14/B14</f>
        <v>858.43600544959133</v>
      </c>
      <c r="L14">
        <f>F14/C14</f>
        <v>1876.7412671232878</v>
      </c>
      <c r="M14" s="7">
        <f>K14/L14</f>
        <v>0.45740775272950746</v>
      </c>
    </row>
  </sheetData>
  <conditionalFormatting sqref="D2:D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0 G12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6DC2-A8D6-45A7-B4FF-4452C422FDB2}">
  <dimension ref="A3:M9"/>
  <sheetViews>
    <sheetView workbookViewId="0">
      <selection activeCell="M5" sqref="M5"/>
    </sheetView>
  </sheetViews>
  <sheetFormatPr defaultRowHeight="14.4" x14ac:dyDescent="0.3"/>
  <cols>
    <col min="1" max="1" width="18.21875" customWidth="1"/>
  </cols>
  <sheetData>
    <row r="3" spans="1:13" x14ac:dyDescent="0.3">
      <c r="A3" s="11" t="s">
        <v>0</v>
      </c>
      <c r="B3" s="11" t="s">
        <v>51</v>
      </c>
      <c r="C3" s="11" t="s">
        <v>2</v>
      </c>
      <c r="D3" s="11" t="s">
        <v>3</v>
      </c>
      <c r="E3" s="11" t="s">
        <v>52</v>
      </c>
      <c r="F3" s="11" t="s">
        <v>5</v>
      </c>
      <c r="G3" s="11" t="s">
        <v>6</v>
      </c>
      <c r="H3" s="11" t="s">
        <v>53</v>
      </c>
      <c r="I3" s="11" t="s">
        <v>8</v>
      </c>
      <c r="J3" s="11" t="s">
        <v>9</v>
      </c>
      <c r="K3" s="11" t="s">
        <v>54</v>
      </c>
      <c r="L3" s="11" t="s">
        <v>11</v>
      </c>
      <c r="M3" s="11" t="s">
        <v>12</v>
      </c>
    </row>
    <row r="4" spans="1:13" x14ac:dyDescent="0.3">
      <c r="A4" s="9" t="s">
        <v>44</v>
      </c>
      <c r="B4" s="4">
        <f>C4-'Розничный Покупатель'!B9-Table4[[#This Row],[focus_count]]-СМС!B14-Уведомление!B34</f>
        <v>73</v>
      </c>
      <c r="C4" s="4">
        <v>399</v>
      </c>
      <c r="D4" s="4">
        <f t="shared" ref="D4:D9" si="0">B4/C4*100</f>
        <v>18.295739348370926</v>
      </c>
      <c r="E4" s="4">
        <f>F4-'Розничный Покупатель'!E9-СМС!E6-СМС!E16-Уведомление!E34</f>
        <v>189822.6399999999</v>
      </c>
      <c r="F4" s="4">
        <v>801659.36</v>
      </c>
      <c r="G4" s="4">
        <f t="shared" ref="G4:G9" si="1">E4/F4*100</f>
        <v>23.678715608085696</v>
      </c>
      <c r="H4" s="4">
        <f>I4-'Розничный Покупатель'!H9-СМС!H6-СМС!H16-Уведомление!H34</f>
        <v>115259.84000000003</v>
      </c>
      <c r="I4" s="4">
        <v>485672.02</v>
      </c>
      <c r="J4" s="4">
        <f t="shared" ref="J4:J9" si="2">H4/I4*100</f>
        <v>23.732032164422407</v>
      </c>
      <c r="K4" s="4">
        <f t="shared" ref="K4:K9" si="3">E4/B4</f>
        <v>2600.3101369862998</v>
      </c>
      <c r="L4" s="4">
        <v>2009.17</v>
      </c>
      <c r="M4" s="6">
        <f t="shared" ref="M4:M9" si="4">K4/L4*100</f>
        <v>129.42210649105351</v>
      </c>
    </row>
    <row r="5" spans="1:13" x14ac:dyDescent="0.3">
      <c r="A5" s="10" t="s">
        <v>45</v>
      </c>
      <c r="B5" s="4">
        <f>C5-'Розничный Покупатель'!B10-Table4[[#This Row],[focus_count]]-СМС!B15-Уведомление!B35</f>
        <v>100</v>
      </c>
      <c r="C5" s="5">
        <v>428</v>
      </c>
      <c r="D5" s="4">
        <f t="shared" si="0"/>
        <v>23.364485981308412</v>
      </c>
      <c r="E5" s="4">
        <f>F5-'Розничный Покупатель'!E10-СМС!E7-СМС!E17-Уведомление!E35</f>
        <v>227198.10000000003</v>
      </c>
      <c r="F5" s="5">
        <v>970187.04</v>
      </c>
      <c r="G5" s="4">
        <f t="shared" si="1"/>
        <v>23.417968972250961</v>
      </c>
      <c r="H5" s="4">
        <f>I5-'Розничный Покупатель'!H10-СМС!H7-СМС!H17-Уведомление!H35</f>
        <v>136535.62999999998</v>
      </c>
      <c r="I5" s="5">
        <v>594113.56999999995</v>
      </c>
      <c r="J5" s="4">
        <f t="shared" si="2"/>
        <v>22.981402360494808</v>
      </c>
      <c r="K5" s="4">
        <f t="shared" si="3"/>
        <v>2271.9810000000002</v>
      </c>
      <c r="L5" s="5">
        <v>2266.79</v>
      </c>
      <c r="M5" s="6">
        <f t="shared" si="4"/>
        <v>100.22900224546606</v>
      </c>
    </row>
    <row r="6" spans="1:13" x14ac:dyDescent="0.3">
      <c r="A6" s="9" t="s">
        <v>46</v>
      </c>
      <c r="B6" s="4">
        <f>C6-'Розничный Покупатель'!B11-Table4[[#This Row],[focus_count]]-СМС!B16-Уведомление!B37</f>
        <v>109</v>
      </c>
      <c r="C6" s="5">
        <v>436</v>
      </c>
      <c r="D6" s="4">
        <f t="shared" si="0"/>
        <v>25</v>
      </c>
      <c r="E6" s="4">
        <f>F6-'Розничный Покупатель'!E11-СМС!E8-СМС!E18-Уведомление!E37</f>
        <v>251608.46999999986</v>
      </c>
      <c r="F6" s="5">
        <v>1023126.32</v>
      </c>
      <c r="G6" s="4">
        <f t="shared" si="1"/>
        <v>24.592121723542391</v>
      </c>
      <c r="H6" s="4">
        <f>I6-'Розничный Покупатель'!H11-СМС!H8-СМС!H18-Уведомление!H37</f>
        <v>150215.21000000002</v>
      </c>
      <c r="I6" s="5">
        <v>624739.99</v>
      </c>
      <c r="J6" s="4">
        <f t="shared" si="2"/>
        <v>24.044436470282623</v>
      </c>
      <c r="K6" s="4">
        <f t="shared" si="3"/>
        <v>2308.3345871559618</v>
      </c>
      <c r="L6" s="5">
        <v>2346.62</v>
      </c>
      <c r="M6" s="6">
        <f t="shared" si="4"/>
        <v>98.368486894169564</v>
      </c>
    </row>
    <row r="7" spans="1:13" x14ac:dyDescent="0.3">
      <c r="A7" s="10" t="s">
        <v>47</v>
      </c>
      <c r="B7" s="4">
        <f>C7-'Розничный Покупатель'!B12-Table4[[#This Row],[focus_count]]-СМС!B17-Уведомление!B38</f>
        <v>89</v>
      </c>
      <c r="C7" s="5">
        <v>487</v>
      </c>
      <c r="D7" s="4">
        <f t="shared" si="0"/>
        <v>18.275154004106774</v>
      </c>
      <c r="E7" s="4">
        <f>F7-'Розничный Покупатель'!E12-СМС!E9-СМС!E19-Уведомление!E38</f>
        <v>165384.61000000004</v>
      </c>
      <c r="F7" s="5">
        <v>947319.05</v>
      </c>
      <c r="G7" s="4">
        <f t="shared" si="1"/>
        <v>17.458174202239469</v>
      </c>
      <c r="H7" s="4">
        <f>I7-'Розничный Покупатель'!H12-СМС!H9-СМС!H19-Уведомление!H38</f>
        <v>93497.140000000072</v>
      </c>
      <c r="I7" s="5">
        <v>567650.66</v>
      </c>
      <c r="J7" s="4">
        <f t="shared" si="2"/>
        <v>16.470894264440751</v>
      </c>
      <c r="K7" s="4">
        <f t="shared" si="3"/>
        <v>1858.2540449438206</v>
      </c>
      <c r="L7" s="5">
        <v>1945.21</v>
      </c>
      <c r="M7" s="6">
        <f t="shared" si="4"/>
        <v>95.52973945968921</v>
      </c>
    </row>
    <row r="8" spans="1:13" x14ac:dyDescent="0.3">
      <c r="A8" s="9" t="s">
        <v>48</v>
      </c>
      <c r="B8" s="4">
        <f>C8-'Розничный Покупатель'!B13-Table4[[#This Row],[focus_count]]-СМС!B18-Уведомление!B39</f>
        <v>103</v>
      </c>
      <c r="C8" s="4">
        <v>452</v>
      </c>
      <c r="D8" s="4">
        <f t="shared" si="0"/>
        <v>22.787610619469024</v>
      </c>
      <c r="E8" s="4">
        <f>F8-'Розничный Покупатель'!E13-СМС!E10-СМС!E20-Уведомление!E39</f>
        <v>379995.98999999987</v>
      </c>
      <c r="F8" s="4">
        <v>1090984.18</v>
      </c>
      <c r="G8" s="4">
        <f t="shared" si="1"/>
        <v>34.830568303932687</v>
      </c>
      <c r="H8" s="4">
        <f>I8-'Розничный Покупатель'!H13-СМС!H10-СМС!H20-Уведомление!H39</f>
        <v>224289.49000000005</v>
      </c>
      <c r="I8" s="4">
        <v>665459.79</v>
      </c>
      <c r="J8" s="4">
        <f t="shared" si="2"/>
        <v>33.704439151763026</v>
      </c>
      <c r="K8" s="4">
        <f t="shared" si="3"/>
        <v>3689.2814563106785</v>
      </c>
      <c r="L8" s="4">
        <v>2413.6799999999998</v>
      </c>
      <c r="M8" s="6">
        <f t="shared" si="4"/>
        <v>152.84882239197734</v>
      </c>
    </row>
    <row r="9" spans="1:13" x14ac:dyDescent="0.3">
      <c r="B9">
        <f>SUM(B4:B8)</f>
        <v>474</v>
      </c>
      <c r="C9">
        <f>SUM(C4:C8)</f>
        <v>2202</v>
      </c>
      <c r="D9" s="4">
        <f t="shared" si="0"/>
        <v>21.525885558583106</v>
      </c>
      <c r="E9">
        <f>SUM(E4:E8)</f>
        <v>1214009.8099999996</v>
      </c>
      <c r="F9">
        <f>SUM(F4:F8)</f>
        <v>4833275.9499999993</v>
      </c>
      <c r="G9" s="4">
        <f t="shared" si="1"/>
        <v>25.117742553060719</v>
      </c>
      <c r="H9">
        <f>SUM(H4:H8)</f>
        <v>719797.31000000017</v>
      </c>
      <c r="I9">
        <f>SUM(I4:I8)</f>
        <v>2937636.03</v>
      </c>
      <c r="J9" s="4">
        <f t="shared" si="2"/>
        <v>24.502603544115718</v>
      </c>
      <c r="K9">
        <f t="shared" si="3"/>
        <v>2561.202130801687</v>
      </c>
      <c r="L9">
        <f>F9/C9</f>
        <v>2194.9482061762033</v>
      </c>
      <c r="M9" s="4">
        <f t="shared" si="4"/>
        <v>116.68622173383905</v>
      </c>
    </row>
  </sheetData>
  <conditionalFormatting sqref="D4:D9 G4:G9 J4:J9 M4:M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Уведомление</vt:lpstr>
      <vt:lpstr>СМС</vt:lpstr>
      <vt:lpstr>Розничный Покупатель</vt:lpstr>
      <vt:lpstr>Остальные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(학부생) ABDIRASULOV AMIRBEK (컴퓨터공학과)</cp:lastModifiedBy>
  <dcterms:created xsi:type="dcterms:W3CDTF">2025-08-05T23:54:35Z</dcterms:created>
  <dcterms:modified xsi:type="dcterms:W3CDTF">2025-08-06T02:32:02Z</dcterms:modified>
</cp:coreProperties>
</file>